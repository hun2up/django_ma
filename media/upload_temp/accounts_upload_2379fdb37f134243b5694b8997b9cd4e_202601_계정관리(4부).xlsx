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김상헌\Downloads\"/>
    </mc:Choice>
  </mc:AlternateContent>
  <xr:revisionPtr revIDLastSave="0" documentId="8_{ABB22445-7EC4-4A38-A5A2-2B6F2919DE7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유의사항" sheetId="4" r:id="rId1"/>
    <sheet name="영업가족직원조회" sheetId="2" r:id="rId2"/>
    <sheet name="관리자" sheetId="3" r:id="rId3"/>
    <sheet name="업로드" sheetId="1" r:id="rId4"/>
  </sheets>
  <definedNames>
    <definedName name="_xlnm._FilterDatabase" localSheetId="3">업로드!$A$1:$N$3333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C20" i="3"/>
  <c r="D20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2" i="3"/>
  <c r="D3" i="3"/>
  <c r="A2" i="1" a="1"/>
  <c r="A2" i="1" s="1"/>
  <c r="E2" i="1" s="1" a="1"/>
  <c r="E2" i="1" s="1"/>
  <c r="M2" i="1" l="1" a="1"/>
  <c r="M2" i="1" s="1"/>
  <c r="J2" i="1" a="1"/>
  <c r="J2" i="1" s="1"/>
  <c r="D2" i="1" a="1"/>
  <c r="D2" i="1" s="1"/>
  <c r="I2" i="1" a="1"/>
  <c r="I2" i="1" s="1"/>
  <c r="K2" i="1" a="1"/>
  <c r="K2" i="1" s="1"/>
  <c r="C2" i="1" a="1"/>
  <c r="C2" i="1" s="1"/>
  <c r="L2" i="1" a="1"/>
  <c r="L2" i="1" s="1"/>
  <c r="F2" i="1" a="1"/>
  <c r="F2" i="1" s="1"/>
  <c r="H2" i="1" a="1"/>
  <c r="H2" i="1" s="1"/>
  <c r="N2" i="1" s="1" a="1"/>
  <c r="N2" i="1" s="1"/>
  <c r="G2" i="1" l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<sst xmlns="http://schemas.openxmlformats.org/spreadsheetml/2006/main" count="86" uniqueCount="66">
  <si>
    <t>Is Staff</t>
  </si>
  <si>
    <t>Is Active</t>
  </si>
  <si>
    <t>사번</t>
    <phoneticPr fontId="2" type="noConversion"/>
  </si>
  <si>
    <t>성명</t>
    <phoneticPr fontId="2" type="noConversion"/>
  </si>
  <si>
    <t>엑셀로 업로드 시 유의사항</t>
    <phoneticPr fontId="2" type="noConversion"/>
  </si>
  <si>
    <t>1. [업로드] 시트는 절대 손대지 마세요.</t>
    <phoneticPr fontId="2" type="noConversion"/>
  </si>
  <si>
    <t>2. [영업가족직원조회] 시트에 IIMS 내 '영업가족직원조회' 페이지에 다운로드 받은 데이터를 붙여넣기 하세요.</t>
    <phoneticPr fontId="2" type="noConversion"/>
  </si>
  <si>
    <t>3. 기존에 등록된 FA가 있으면 변경된 정보만 업데이트되고, 새 FA 정보는 자동으로 새로 등록됩니다.</t>
    <phoneticPr fontId="2" type="noConversion"/>
  </si>
  <si>
    <t>4. 본 프로세스를 통해 기존 FA 정보를 삭제하는 것은 불가합니다. (Admin 페이지에서 직접 진행해주세요)</t>
    <phoneticPr fontId="2" type="noConversion"/>
  </si>
  <si>
    <t>5. 각 파트너 관리자(Admin) 권한 부여가 필요할 경우 [관리자] 시트에 사원번호를 입력해주세요. (사원번호 외 다른 데이터 수기입력 금지)</t>
    <phoneticPr fontId="2" type="noConversion"/>
  </si>
  <si>
    <t xml:space="preserve">   ※ 직원 관리자(Superuser)와는 다릅니다. 직원 관리자 추가 및 수정은 Admin 페이지에서 진행해주세요.</t>
    <phoneticPr fontId="2" type="noConversion"/>
  </si>
  <si>
    <t>최상위관리자</t>
    <phoneticPr fontId="2" type="noConversion"/>
  </si>
  <si>
    <t>영업가족</t>
    <phoneticPr fontId="2" type="noConversion"/>
  </si>
  <si>
    <t>중간관리자</t>
    <phoneticPr fontId="2" type="noConversion"/>
  </si>
  <si>
    <t>부서</t>
    <phoneticPr fontId="2" type="noConversion"/>
  </si>
  <si>
    <r>
      <rPr>
        <sz val="10"/>
        <rFont val="Arial"/>
        <family val="2"/>
        <charset val="1"/>
      </rPr>
      <t>성명</t>
    </r>
  </si>
  <si>
    <r>
      <rPr>
        <sz val="10"/>
        <rFont val="Arial"/>
        <family val="2"/>
        <charset val="1"/>
      </rPr>
      <t>사원번호</t>
    </r>
  </si>
  <si>
    <r>
      <rPr>
        <sz val="10"/>
        <rFont val="Arial"/>
        <family val="2"/>
        <charset val="1"/>
      </rPr>
      <t>재직여부</t>
    </r>
  </si>
  <si>
    <r>
      <rPr>
        <sz val="10"/>
        <rFont val="Arial"/>
        <family val="2"/>
        <charset val="1"/>
      </rPr>
      <t>영업가족명</t>
    </r>
  </si>
  <si>
    <r>
      <rPr>
        <sz val="10"/>
        <rFont val="Arial"/>
        <family val="2"/>
        <charset val="1"/>
      </rPr>
      <t>영업가족구분</t>
    </r>
  </si>
  <si>
    <r>
      <rPr>
        <sz val="10"/>
        <rFont val="Arial"/>
        <family val="2"/>
        <charset val="1"/>
      </rPr>
      <t>사용등급</t>
    </r>
  </si>
  <si>
    <r>
      <rPr>
        <sz val="10"/>
        <rFont val="Arial"/>
        <family val="2"/>
        <charset val="1"/>
      </rPr>
      <t>처리권한</t>
    </r>
  </si>
  <si>
    <r>
      <rPr>
        <sz val="10"/>
        <rFont val="Arial"/>
        <family val="2"/>
        <charset val="1"/>
      </rPr>
      <t>직급</t>
    </r>
  </si>
  <si>
    <r>
      <rPr>
        <sz val="10"/>
        <rFont val="Arial"/>
        <family val="2"/>
        <charset val="1"/>
      </rPr>
      <t>직책</t>
    </r>
  </si>
  <si>
    <r>
      <rPr>
        <sz val="10"/>
        <rFont val="Arial"/>
        <family val="2"/>
        <charset val="1"/>
      </rPr>
      <t>직무</t>
    </r>
  </si>
  <si>
    <r>
      <rPr>
        <sz val="10"/>
        <rFont val="Arial"/>
        <family val="2"/>
        <charset val="1"/>
      </rPr>
      <t>영업가족부서위치</t>
    </r>
  </si>
  <si>
    <r>
      <rPr>
        <sz val="10"/>
        <rFont val="Arial"/>
        <family val="2"/>
        <charset val="1"/>
      </rPr>
      <t>영업가족부서코드</t>
    </r>
  </si>
  <si>
    <r>
      <rPr>
        <sz val="10"/>
        <rFont val="Arial"/>
        <family val="2"/>
        <charset val="1"/>
      </rPr>
      <t>영업가족부서</t>
    </r>
  </si>
  <si>
    <r>
      <rPr>
        <sz val="10"/>
        <rFont val="Arial"/>
        <family val="2"/>
        <charset val="1"/>
      </rPr>
      <t>소속부서</t>
    </r>
  </si>
  <si>
    <r>
      <rPr>
        <sz val="10"/>
        <rFont val="Arial"/>
        <family val="2"/>
        <charset val="1"/>
      </rPr>
      <t>금융사고여부</t>
    </r>
  </si>
  <si>
    <r>
      <rPr>
        <sz val="10"/>
        <rFont val="Arial"/>
        <family val="2"/>
        <charset val="1"/>
      </rPr>
      <t>유자격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사용인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</si>
  <si>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휴대전화</t>
    </r>
    <r>
      <rPr>
        <sz val="10"/>
        <rFont val="Arial"/>
        <family val="2"/>
      </rPr>
      <t>.</t>
    </r>
  </si>
  <si>
    <r>
      <rPr>
        <sz val="10"/>
        <rFont val="Arial"/>
        <family val="2"/>
        <charset val="1"/>
      </rPr>
      <t>회사전화</t>
    </r>
  </si>
  <si>
    <r>
      <rPr>
        <sz val="10"/>
        <rFont val="Arial"/>
        <family val="2"/>
        <charset val="1"/>
      </rPr>
      <t>메일주소</t>
    </r>
  </si>
  <si>
    <r>
      <rPr>
        <sz val="10"/>
        <rFont val="Arial"/>
        <family val="2"/>
        <charset val="1"/>
      </rPr>
      <t>신분증</t>
    </r>
  </si>
  <si>
    <r>
      <rPr>
        <sz val="10"/>
        <rFont val="Arial"/>
        <family val="2"/>
        <charset val="1"/>
      </rPr>
      <t>통장사본</t>
    </r>
  </si>
  <si>
    <r>
      <rPr>
        <sz val="10"/>
        <rFont val="Arial"/>
        <family val="2"/>
        <charset val="1"/>
      </rPr>
      <t>위촉계약서</t>
    </r>
  </si>
  <si>
    <r>
      <t>E</t>
    </r>
    <r>
      <rPr>
        <sz val="10"/>
        <rFont val="Arial"/>
        <family val="2"/>
        <charset val="1"/>
      </rPr>
      <t>클린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</si>
  <si>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</si>
  <si>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사진</t>
    </r>
  </si>
  <si>
    <r>
      <rPr>
        <sz val="10"/>
        <rFont val="Arial"/>
        <family val="2"/>
        <charset val="1"/>
      </rPr>
      <t>지점효율신청서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</si>
  <si>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  <r>
      <rPr>
        <sz val="10"/>
        <rFont val="Arial"/>
        <family val="2"/>
        <charset val="1"/>
      </rPr>
      <t>사유</t>
    </r>
  </si>
  <si>
    <r>
      <rPr>
        <sz val="10"/>
        <rFont val="Arial"/>
        <family val="2"/>
        <charset val="1"/>
      </rPr>
      <t>경력여부</t>
    </r>
  </si>
  <si>
    <r>
      <rPr>
        <sz val="10"/>
        <rFont val="Arial"/>
        <family val="2"/>
        <charset val="1"/>
      </rPr>
      <t>생년월일</t>
    </r>
  </si>
  <si>
    <r>
      <rPr>
        <sz val="10"/>
        <rFont val="Arial"/>
        <family val="2"/>
        <charset val="1"/>
      </rPr>
      <t>생일구분</t>
    </r>
  </si>
  <si>
    <r>
      <rPr>
        <sz val="10"/>
        <rFont val="Arial"/>
        <family val="2"/>
        <charset val="1"/>
      </rPr>
      <t>명세보기</t>
    </r>
  </si>
  <si>
    <r>
      <rPr>
        <sz val="10"/>
        <rFont val="Arial"/>
        <family val="2"/>
        <charset val="1"/>
      </rPr>
      <t>입문과정수료여부</t>
    </r>
  </si>
  <si>
    <r>
      <rPr>
        <sz val="10"/>
        <rFont val="Arial"/>
        <family val="2"/>
        <charset val="1"/>
      </rPr>
      <t>입사일자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</si>
  <si>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퇴사일자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</si>
  <si>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등록일자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</si>
  <si>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금소법교육이수</t>
    </r>
  </si>
  <si>
    <r>
      <rPr>
        <sz val="10"/>
        <rFont val="Arial"/>
        <family val="2"/>
        <charset val="1"/>
      </rPr>
      <t>직무수행교육이수</t>
    </r>
  </si>
  <si>
    <r>
      <rPr>
        <sz val="10"/>
        <rFont val="Arial"/>
        <family val="2"/>
        <charset val="1"/>
      </rPr>
      <t>외국인여부</t>
    </r>
  </si>
  <si>
    <r>
      <rPr>
        <sz val="10"/>
        <rFont val="Arial"/>
        <family val="2"/>
        <charset val="1"/>
      </rPr>
      <t>외국인성명</t>
    </r>
  </si>
  <si>
    <r>
      <rPr>
        <sz val="10"/>
        <rFont val="Arial"/>
        <family val="2"/>
        <charset val="1"/>
      </rPr>
      <t>국적</t>
    </r>
  </si>
  <si>
    <r>
      <rPr>
        <sz val="10"/>
        <rFont val="Arial"/>
        <family val="2"/>
        <charset val="1"/>
      </rPr>
      <t>체류코드</t>
    </r>
  </si>
  <si>
    <t>권한</t>
    <phoneticPr fontId="2" type="noConversion"/>
  </si>
  <si>
    <t>비밀번호</t>
    <phoneticPr fontId="2" type="noConversion"/>
  </si>
  <si>
    <t>채널</t>
    <phoneticPr fontId="2" type="noConversion"/>
  </si>
  <si>
    <t>지점</t>
    <phoneticPr fontId="2" type="noConversion"/>
  </si>
  <si>
    <t>등급</t>
    <phoneticPr fontId="2" type="noConversion"/>
  </si>
  <si>
    <t>상태</t>
    <phoneticPr fontId="2" type="noConversion"/>
  </si>
  <si>
    <t>손생등록여부</t>
    <phoneticPr fontId="2" type="noConversion"/>
  </si>
  <si>
    <t>생년월일</t>
    <phoneticPr fontId="2" type="noConversion"/>
  </si>
  <si>
    <t>입사일</t>
    <phoneticPr fontId="2" type="noConversion"/>
  </si>
  <si>
    <t>퇴사일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</si>
</sst>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0"/>
      <name val="Arial"/>
      <family val="2"/>
      <charset val="1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49" fontId="5" fillId="0" borderId="0" xfId="1" applyNumberFormat="1" applyFont="1" applyAlignment="1">
      <alignment vertical="center"/>
    </xf>
    <xf numFmtId="0" fontId="5" fillId="0" borderId="0" xfId="1" applyFont="1" applyAlignment="1">
      <alignment vertical="center"/>
    </xf>
  </cellXfs>
  <cellStyles count="2">
    <cellStyle name="표준" xfId="0" builtinId="0"/>
    <cellStyle name="표준 2" xfId="1" xr:uid="{85D98B4D-8E53-4714-8A84-5E229C6B873C}"/>
  </cellStyles>
  <dxfs count="45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A1061-07B2-4F8B-BD7A-AF5E45AEDB23}" name="fa" displayName="fa" ref="A1:AO2" insertRow="1" totalsRowShown="0" headerRowDxfId="44" dataDxfId="43" headerRowCellStyle="표준 2" dataCellStyle="표준 2">
  <autoFilter ref="A1:AO2" xr:uid="{D74A1061-07B2-4F8B-BD7A-AF5E45AEDB23}"/>
  <tableColumns count="41">
    <tableColumn id="1" xr3:uid="{86FA6536-69C9-45C2-9F44-9ED781DADAF2}" name="성명" dataDxfId="42" dataCellStyle="표준 2"/>
    <tableColumn id="2" xr3:uid="{30DBE2BB-B3DF-465C-B777-FA3D65CB36E7}" name="사원번호" dataDxfId="41" dataCellStyle="표준 2"/>
    <tableColumn id="3" xr3:uid="{B04C09C3-1E8A-4904-BB6E-57C412F95A15}" name="재직여부" dataDxfId="40" dataCellStyle="표준 2"/>
    <tableColumn id="4" xr3:uid="{0921C363-5F64-43CE-AE8A-3117F8570F3E}" name="영업가족명" dataDxfId="39" dataCellStyle="표준 2"/>
    <tableColumn id="5" xr3:uid="{9CFDA35B-1CE1-4195-91CC-AA40F3299F99}" name="영업가족구분" dataDxfId="38" dataCellStyle="표준 2"/>
    <tableColumn id="6" xr3:uid="{27D18000-9A51-4493-A11B-017C5A945A4C}" name="사용등급" dataDxfId="37" dataCellStyle="표준 2"/>
    <tableColumn id="7" xr3:uid="{140E5417-753E-4047-B6C7-98EA3B44295E}" name="처리권한" dataDxfId="36" dataCellStyle="표준 2"/>
    <tableColumn id="8" xr3:uid="{4B075BE9-2BAA-4E9E-8221-2B8686A17B63}" name="직급" dataDxfId="35" dataCellStyle="표준 2"/>
    <tableColumn id="9" xr3:uid="{B499BF19-2B79-46C2-90ED-04815E9690C9}" name="직책" dataDxfId="34" dataCellStyle="표준 2"/>
    <tableColumn id="10" xr3:uid="{8CF1307F-65A6-4286-9138-D0BD6AE40587}" name="직무" dataDxfId="33" dataCellStyle="표준 2"/>
    <tableColumn id="11" xr3:uid="{01A51918-AFD8-49B7-88B1-37524A375F66}" name="영업가족부서위치" dataDxfId="32" dataCellStyle="표준 2"/>
    <tableColumn id="12" xr3:uid="{EAAD3F47-19F0-450F-83F9-169308BC286D}" name="영업가족부서코드" dataDxfId="31" dataCellStyle="표준 2"/>
    <tableColumn id="13" xr3:uid="{26F2BBD7-2608-4C6A-984B-CF3F8937B5D1}" name="영업가족부서" dataDxfId="30" dataCellStyle="표준 2"/>
    <tableColumn id="14" xr3:uid="{BB85756E-76CF-4FB4-9C26-CD50137EB7F0}" name="소속부서" dataDxfId="29" dataCellStyle="표준 2"/>
    <tableColumn id="15" xr3:uid="{78730CC0-0E16-4FC7-A69B-034299260286}" name="금융사고여부" dataDxfId="28" dataCellStyle="표준 2"/>
    <tableColumn id="16" xr3:uid="{21D5EE0F-07B9-4D9F-A8D4-5A0630010785}" name="유자격(사용인)" dataDxfId="27" dataCellStyle="표준 2"/>
    <tableColumn id="17" xr3:uid="{068FB296-17A5-46AC-8F82-CE809088F802}" name="휴대전화." dataDxfId="26" dataCellStyle="표준 2"/>
    <tableColumn id="18" xr3:uid="{035C923B-EAB2-46C3-8E00-63F1BDCD780C}" name="회사전화" dataDxfId="25" dataCellStyle="표준 2"/>
    <tableColumn id="19" xr3:uid="{176AEF23-F298-45AD-9A1F-739A60E9C738}" name="메일주소" dataDxfId="24" dataCellStyle="표준 2"/>
    <tableColumn id="20" xr3:uid="{59CEA1A4-0BCD-45A2-8EDF-221AF5AC4631}" name="신분증" dataDxfId="23" dataCellStyle="표준 2"/>
    <tableColumn id="21" xr3:uid="{851F0A2C-E30F-46E9-BB51-F254A0522AF0}" name="통장사본" dataDxfId="22" dataCellStyle="표준 2"/>
    <tableColumn id="22" xr3:uid="{D85D570F-50C8-41F6-B2CD-5983493D5DFF}" name="위촉계약서" dataDxfId="21" dataCellStyle="표준 2"/>
    <tableColumn id="23" xr3:uid="{5C0D05EF-CC4A-4873-BCDF-4B247A869FE0}" name="E클린" dataDxfId="20" dataCellStyle="표준 2"/>
    <tableColumn id="24" xr3:uid="{18B81226-9093-4C8D-B078-845C6D6B7612}" name="E클린(미동의)" dataDxfId="19" dataCellStyle="표준 2"/>
    <tableColumn id="25" xr3:uid="{7D570653-E9CC-43A7-A84E-5BF5D2FA3115}" name="사진" dataDxfId="18" dataCellStyle="표준 2"/>
    <tableColumn id="26" xr3:uid="{465C6FAF-1A30-401F-8896-F5A96E76D409}" name="지점효율신청서" dataDxfId="17" dataCellStyle="표준 2"/>
    <tableColumn id="27" xr3:uid="{3A960143-F69E-4CDE-9807-6C199B5A008D}" name="E클린(미동의)사유" dataDxfId="16" dataCellStyle="표준 2"/>
    <tableColumn id="28" xr3:uid="{929FCA42-BEA1-41E3-885E-190DB2DD8F56}" name="경력여부" dataDxfId="15" dataCellStyle="표준 2"/>
    <tableColumn id="29" xr3:uid="{C63324AD-D5FC-44A7-A364-C741B4964C1D}" name="생년월일" dataDxfId="14" dataCellStyle="표준 2"/>
    <tableColumn id="30" xr3:uid="{09F1C48B-FBE8-4E34-8508-8AC62AB1409C}" name="생일구분" dataDxfId="13" dataCellStyle="표준 2"/>
    <tableColumn id="31" xr3:uid="{F5F3939C-6C89-4ADA-960F-EE75463D6350}" name="명세보기" dataDxfId="12" dataCellStyle="표준 2"/>
    <tableColumn id="32" xr3:uid="{51E5DADA-D51D-4BE2-98B0-6B45E007EF35}" name="입문과정수료여부" dataDxfId="11" dataCellStyle="표준 2"/>
    <tableColumn id="33" xr3:uid="{C026F133-D47D-40A1-AF55-5ECCDF156D44}" name="입사일자(사원)" dataDxfId="10" dataCellStyle="표준 2"/>
    <tableColumn id="34" xr3:uid="{3F61E426-6B46-4E78-9A65-4F0C9A2D8B69}" name="퇴사일자(사원)" dataDxfId="9" dataCellStyle="표준 2"/>
    <tableColumn id="35" xr3:uid="{3AAB497C-A028-4EE2-83C3-DD256B1A0705}" name="등록일자(사원)" dataDxfId="8" dataCellStyle="표준 2"/>
    <tableColumn id="36" xr3:uid="{AD7EC97F-6F90-402F-BE74-13F508C90A49}" name="금소법교육이수" dataDxfId="7" dataCellStyle="표준 2"/>
    <tableColumn id="37" xr3:uid="{CBB62D51-D070-46B8-92F9-437938322E47}" name="직무수행교육이수" dataDxfId="6" dataCellStyle="표준 2"/>
    <tableColumn id="38" xr3:uid="{EEB9C9E6-DF19-4286-A7CA-4FC88F89A0F7}" name="외국인여부" dataDxfId="5" dataCellStyle="표준 2"/>
    <tableColumn id="39" xr3:uid="{1B84197A-B530-4792-8475-787FF8120BE0}" name="외국인성명" dataDxfId="4" dataCellStyle="표준 2"/>
    <tableColumn id="40" xr3:uid="{043DBB1D-E623-49A1-9773-9E95DEB449E3}" name="국적" dataDxfId="3" dataCellStyle="표준 2"/>
    <tableColumn id="41" xr3:uid="{3B1892BC-73B0-4E61-81BC-ED209742D00B}" name="체류코드" dataDxfId="2" dataCellStyle="표준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C39E61-FE22-48AB-AFB1-C0136E23A116}" name="관리" displayName="관리" ref="A1:E20" totalsRowShown="0">
  <autoFilter ref="A1:E20" xr:uid="{90C39E61-FE22-48AB-AFB1-C0136E23A116}"/>
  <tableColumns count="5">
    <tableColumn id="1" xr3:uid="{DC5C9EB5-E452-4795-906D-45F3E6125814}" name="사번"/>
    <tableColumn id="2" xr3:uid="{D75E4722-FE32-4719-B9EA-E6E6C7167F56}" name="성명">
      <calculatedColumnFormula>_xlfn.XLOOKUP(관리[[#This Row],[사번]],fa[사원번호],fa[성명],"")</calculatedColumnFormula>
    </tableColumn>
    <tableColumn id="5" xr3:uid="{A45D7A99-7E4B-4E97-896A-6C903CD8B7EF}" name="부서" dataDxfId="1">
      <calculatedColumnFormula>_xlfn.XLOOKUP(관리[[#This Row],[사번]],fa[사원번호],fa[소속부서],"")</calculatedColumnFormula>
    </tableColumn>
    <tableColumn id="4" xr3:uid="{87339966-57A2-4EA3-82A4-10E0728FEB7C}" name="영업가족" dataDxfId="0">
      <calculatedColumnFormula>_xlfn.XLOOKUP(관리[[#This Row],[사번]],fa[사원번호],fa[영업가족명],"")</calculatedColumnFormula>
    </tableColumn>
    <tableColumn id="3" xr3:uid="{576E46A0-D3CF-4E90-B74F-5A00ACD3B189}" name="권한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8AB5-32B0-4655-8055-2D89DBF43B95}">
  <sheetPr>
    <tabColor rgb="FFFF0000"/>
  </sheetPr>
  <dimension ref="A1:A8"/>
  <sheetViews>
    <sheetView workbookViewId="0"/>
  </sheetViews>
  <sheetFormatPr defaultRowHeight="16.5" x14ac:dyDescent="0.3"/>
  <sheetData>
    <row r="1" spans="1:1" ht="20.25" x14ac:dyDescent="0.35">
      <c r="A1" s="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709E-BEA1-4488-A08B-3BFBD0038ADF}">
  <sheetPr>
    <tabColor rgb="FFFFFF00"/>
  </sheetPr>
  <dimension ref="A1:AO2"/>
  <sheetViews>
    <sheetView tabSelected="1" zoomScaleNormal="100" workbookViewId="0"/>
  </sheetViews>
  <sheetFormatPr defaultRowHeight="12.75" x14ac:dyDescent="0.3"/>
  <cols>
    <col min="1" max="1" width="17.5" style="4" customWidth="1"/>
    <col min="2" max="3" width="9.25" style="4" customWidth="1"/>
    <col min="4" max="4" width="21.875" style="4" customWidth="1"/>
    <col min="5" max="5" width="12.5" style="4" customWidth="1"/>
    <col min="6" max="7" width="9.25" style="4" customWidth="1"/>
    <col min="8" max="9" width="8.75" style="4" customWidth="1"/>
    <col min="10" max="10" width="17.5" style="4" customWidth="1"/>
    <col min="11" max="11" width="15.75" style="4" customWidth="1"/>
    <col min="12" max="12" width="17.5" style="4" customWidth="1"/>
    <col min="13" max="13" width="35" style="4" customWidth="1"/>
    <col min="14" max="14" width="13.125" style="4" customWidth="1"/>
    <col min="15" max="16" width="17.5" style="4" customWidth="1"/>
    <col min="17" max="17" width="9.75" style="4" customWidth="1"/>
    <col min="18" max="19" width="9.25" style="4" customWidth="1"/>
    <col min="20" max="20" width="8.75" style="4" customWidth="1"/>
    <col min="21" max="21" width="9.25" style="4" customWidth="1"/>
    <col min="22" max="22" width="10.875" style="4" customWidth="1"/>
    <col min="23" max="25" width="13.125" style="4" customWidth="1"/>
    <col min="26" max="26" width="14.125" style="4" customWidth="1"/>
    <col min="27" max="27" width="26.25" style="4" customWidth="1"/>
    <col min="28" max="31" width="13.125" style="4" customWidth="1"/>
    <col min="32" max="32" width="15.75" style="4" customWidth="1"/>
    <col min="33" max="35" width="13.5" style="4" customWidth="1"/>
    <col min="36" max="36" width="24.5" style="4" customWidth="1"/>
    <col min="37" max="37" width="15.75" style="4" customWidth="1"/>
    <col min="38" max="38" width="17.5" style="4" customWidth="1"/>
    <col min="39" max="39" width="13.125" style="4" customWidth="1"/>
    <col min="40" max="40" width="10.5" style="4" customWidth="1"/>
    <col min="41" max="41" width="9.25" style="4" customWidth="1"/>
    <col min="42" max="16384" width="9" style="4"/>
  </cols>
  <sheetData>
    <row r="1" spans="1:41" x14ac:dyDescent="0.3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36</v>
      </c>
      <c r="W1" s="4" t="s">
        <v>37</v>
      </c>
      <c r="X1" s="4" t="s">
        <v>38</v>
      </c>
      <c r="Y1" s="4" t="s">
        <v>39</v>
      </c>
      <c r="Z1" s="4" t="s">
        <v>40</v>
      </c>
      <c r="AA1" s="4" t="s">
        <v>41</v>
      </c>
      <c r="AB1" s="4" t="s">
        <v>42</v>
      </c>
      <c r="AC1" s="4" t="s">
        <v>43</v>
      </c>
      <c r="AD1" s="4" t="s">
        <v>44</v>
      </c>
      <c r="AE1" s="4" t="s">
        <v>45</v>
      </c>
      <c r="AF1" s="4" t="s">
        <v>46</v>
      </c>
      <c r="AG1" s="4" t="s">
        <v>47</v>
      </c>
      <c r="AH1" s="4" t="s">
        <v>48</v>
      </c>
      <c r="AI1" s="4" t="s">
        <v>49</v>
      </c>
      <c r="AJ1" s="4" t="s">
        <v>50</v>
      </c>
      <c r="AK1" s="4" t="s">
        <v>51</v>
      </c>
      <c r="AL1" s="4" t="s">
        <v>52</v>
      </c>
      <c r="AM1" s="4" t="s">
        <v>53</v>
      </c>
      <c r="AN1" s="4" t="s">
        <v>54</v>
      </c>
      <c r="AO1" s="4" t="s">
        <v>55</v>
      </c>
    </row>
    <row r="2" spans="1:41" x14ac:dyDescent="0.3">
      <c r="A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</sheetData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CC97-621D-42F7-BDA5-BF7A48CC5C95}">
  <dimension ref="A1:E20"/>
  <sheetViews>
    <sheetView workbookViewId="0">
      <selection activeCell="D9" sqref="D9"/>
    </sheetView>
  </sheetViews>
  <sheetFormatPr defaultRowHeight="16.5" x14ac:dyDescent="0.3"/>
  <cols>
    <col min="3" max="3" width="11.25" bestFit="1" customWidth="1"/>
    <col min="4" max="4" width="15.125" bestFit="1" customWidth="1"/>
  </cols>
  <sheetData>
    <row r="1" spans="1:5" x14ac:dyDescent="0.3">
      <c r="A1" t="s">
        <v>2</v>
      </c>
      <c r="B1" t="s">
        <v>3</v>
      </c>
      <c r="C1" t="s">
        <v>14</v>
      </c>
      <c r="D1" t="s">
        <v>12</v>
      </c>
      <c r="E1" t="s">
        <v>56</v>
      </c>
    </row>
    <row r="2" spans="1:5" x14ac:dyDescent="0.3">
      <c r="A2">
        <v>1930695</v>
      </c>
      <c r="B2" t="str">
        <f>_xlfn.XLOOKUP(관리[[#This Row],[사번]],fa[사원번호],fa[성명],"")</f>
        <v/>
      </c>
      <c r="C2" t="str">
        <f>_xlfn.XLOOKUP(관리[[#This Row],[사번]],fa[사원번호],fa[소속부서],"")</f>
        <v/>
      </c>
      <c r="D2" t="str">
        <f>_xlfn.XLOOKUP(관리[[#This Row],[사번]],fa[사원번호],fa[영업가족명],"")</f>
        <v/>
      </c>
      <c r="E2" t="s">
        <v>11</v>
      </c>
    </row>
    <row r="3" spans="1:5" x14ac:dyDescent="0.3">
      <c r="A3">
        <v>1930361</v>
      </c>
      <c r="B3" t="str">
        <f>_xlfn.XLOOKUP(관리[[#This Row],[사번]],fa[사원번호],fa[성명],"")</f>
        <v/>
      </c>
      <c r="C3" t="str">
        <f>_xlfn.XLOOKUP(관리[[#This Row],[사번]],fa[사원번호],fa[소속부서],"")</f>
        <v/>
      </c>
      <c r="D3" t="str">
        <f>_xlfn.XLOOKUP(관리[[#This Row],[사번]],fa[사원번호],fa[영업가족명],"")</f>
        <v/>
      </c>
      <c r="E3" t="s">
        <v>11</v>
      </c>
    </row>
    <row r="4" spans="1:5" x14ac:dyDescent="0.3">
      <c r="A4">
        <v>1930651</v>
      </c>
      <c r="B4" t="str">
        <f>_xlfn.XLOOKUP(관리[[#This Row],[사번]],fa[사원번호],fa[성명],"")</f>
        <v/>
      </c>
      <c r="C4" t="str">
        <f>_xlfn.XLOOKUP(관리[[#This Row],[사번]],fa[사원번호],fa[소속부서],"")</f>
        <v/>
      </c>
      <c r="D4" t="str">
        <f>_xlfn.XLOOKUP(관리[[#This Row],[사번]],fa[사원번호],fa[영업가족명],"")</f>
        <v/>
      </c>
      <c r="E4" t="s">
        <v>13</v>
      </c>
    </row>
    <row r="5" spans="1:5" x14ac:dyDescent="0.3">
      <c r="A5">
        <v>1930665</v>
      </c>
      <c r="B5" t="str">
        <f>_xlfn.XLOOKUP(관리[[#This Row],[사번]],fa[사원번호],fa[성명],"")</f>
        <v/>
      </c>
      <c r="C5" t="str">
        <f>_xlfn.XLOOKUP(관리[[#This Row],[사번]],fa[사원번호],fa[소속부서],"")</f>
        <v/>
      </c>
      <c r="D5" t="str">
        <f>_xlfn.XLOOKUP(관리[[#This Row],[사번]],fa[사원번호],fa[영업가족명],"")</f>
        <v/>
      </c>
      <c r="E5" t="s">
        <v>13</v>
      </c>
    </row>
    <row r="6" spans="1:5" x14ac:dyDescent="0.3">
      <c r="A6">
        <v>2436160</v>
      </c>
      <c r="B6" t="str">
        <f>_xlfn.XLOOKUP(관리[[#This Row],[사번]],fa[사원번호],fa[성명],"")</f>
        <v/>
      </c>
      <c r="C6" t="str">
        <f>_xlfn.XLOOKUP(관리[[#This Row],[사번]],fa[사원번호],fa[소속부서],"")</f>
        <v/>
      </c>
      <c r="D6" t="str">
        <f>_xlfn.XLOOKUP(관리[[#This Row],[사번]],fa[사원번호],fa[영업가족명],"")</f>
        <v/>
      </c>
      <c r="E6" t="s">
        <v>13</v>
      </c>
    </row>
    <row r="7" spans="1:5" x14ac:dyDescent="0.3">
      <c r="A7">
        <v>2433160</v>
      </c>
      <c r="B7" t="str">
        <f>_xlfn.XLOOKUP(관리[[#This Row],[사번]],fa[사원번호],fa[성명],"")</f>
        <v/>
      </c>
      <c r="C7" t="str">
        <f>_xlfn.XLOOKUP(관리[[#This Row],[사번]],fa[사원번호],fa[소속부서],"")</f>
        <v/>
      </c>
      <c r="D7" t="str">
        <f>_xlfn.XLOOKUP(관리[[#This Row],[사번]],fa[사원번호],fa[영업가족명],"")</f>
        <v/>
      </c>
      <c r="E7" t="s">
        <v>13</v>
      </c>
    </row>
    <row r="8" spans="1:5" x14ac:dyDescent="0.3">
      <c r="A8">
        <v>2230830</v>
      </c>
      <c r="B8" t="str">
        <f>_xlfn.XLOOKUP(관리[[#This Row],[사번]],fa[사원번호],fa[성명],"")</f>
        <v/>
      </c>
      <c r="C8" t="str">
        <f>_xlfn.XLOOKUP(관리[[#This Row],[사번]],fa[사원번호],fa[소속부서],"")</f>
        <v/>
      </c>
      <c r="D8" t="str">
        <f>_xlfn.XLOOKUP(관리[[#This Row],[사번]],fa[사원번호],fa[영업가족명],"")</f>
        <v/>
      </c>
      <c r="E8" t="s">
        <v>13</v>
      </c>
    </row>
    <row r="9" spans="1:5" x14ac:dyDescent="0.3">
      <c r="A9">
        <v>2433519</v>
      </c>
      <c r="B9" t="str">
        <f>_xlfn.XLOOKUP(관리[[#This Row],[사번]],fa[사원번호],fa[성명],"")</f>
        <v/>
      </c>
      <c r="C9" t="str">
        <f>_xlfn.XLOOKUP(관리[[#This Row],[사번]],fa[사원번호],fa[소속부서],"")</f>
        <v/>
      </c>
      <c r="D9" t="str">
        <f>_xlfn.XLOOKUP(관리[[#This Row],[사번]],fa[사원번호],fa[영업가족명],"")</f>
        <v/>
      </c>
      <c r="E9" t="s">
        <v>13</v>
      </c>
    </row>
    <row r="10" spans="1:5" x14ac:dyDescent="0.3">
      <c r="A10">
        <v>2030564</v>
      </c>
      <c r="B10" t="str">
        <f>_xlfn.XLOOKUP(관리[[#This Row],[사번]],fa[사원번호],fa[성명],"")</f>
        <v/>
      </c>
      <c r="C10" t="str">
        <f>_xlfn.XLOOKUP(관리[[#This Row],[사번]],fa[사원번호],fa[소속부서],"")</f>
        <v/>
      </c>
      <c r="D10" t="str">
        <f>_xlfn.XLOOKUP(관리[[#This Row],[사번]],fa[사원번호],fa[영업가족명],"")</f>
        <v/>
      </c>
      <c r="E10" t="s">
        <v>11</v>
      </c>
    </row>
    <row r="11" spans="1:5" x14ac:dyDescent="0.3">
      <c r="A11">
        <v>1833215</v>
      </c>
      <c r="B11" t="str">
        <f>_xlfn.XLOOKUP(관리[[#This Row],[사번]],fa[사원번호],fa[성명],"")</f>
        <v/>
      </c>
      <c r="C11" t="str">
        <f>_xlfn.XLOOKUP(관리[[#This Row],[사번]],fa[사원번호],fa[소속부서],"")</f>
        <v/>
      </c>
      <c r="D11" t="str">
        <f>_xlfn.XLOOKUP(관리[[#This Row],[사번]],fa[사원번호],fa[영업가족명],"")</f>
        <v/>
      </c>
      <c r="E11" t="s">
        <v>11</v>
      </c>
    </row>
    <row r="12" spans="1:5" x14ac:dyDescent="0.3">
      <c r="A12">
        <v>2232262</v>
      </c>
      <c r="B12" t="str">
        <f>_xlfn.XLOOKUP(관리[[#This Row],[사번]],fa[사원번호],fa[성명],"")</f>
        <v/>
      </c>
      <c r="C12" t="str">
        <f>_xlfn.XLOOKUP(관리[[#This Row],[사번]],fa[사원번호],fa[소속부서],"")</f>
        <v/>
      </c>
      <c r="D12" t="str">
        <f>_xlfn.XLOOKUP(관리[[#This Row],[사번]],fa[사원번호],fa[영업가족명],"")</f>
        <v/>
      </c>
      <c r="E12" t="s">
        <v>11</v>
      </c>
    </row>
    <row r="13" spans="1:5" x14ac:dyDescent="0.3">
      <c r="A13">
        <v>2335382</v>
      </c>
      <c r="B13" t="str">
        <f>_xlfn.XLOOKUP(관리[[#This Row],[사번]],fa[사원번호],fa[성명],"")</f>
        <v/>
      </c>
      <c r="C13" t="str">
        <f>_xlfn.XLOOKUP(관리[[#This Row],[사번]],fa[사원번호],fa[소속부서],"")</f>
        <v/>
      </c>
      <c r="D13" t="str">
        <f>_xlfn.XLOOKUP(관리[[#This Row],[사번]],fa[사원번호],fa[영업가족명],"")</f>
        <v/>
      </c>
      <c r="E13" t="s">
        <v>11</v>
      </c>
    </row>
    <row r="14" spans="1:5" x14ac:dyDescent="0.3">
      <c r="A14">
        <v>2131713</v>
      </c>
      <c r="B14" t="str">
        <f>_xlfn.XLOOKUP(관리[[#This Row],[사번]],fa[사원번호],fa[성명],"")</f>
        <v/>
      </c>
      <c r="C14" t="str">
        <f>_xlfn.XLOOKUP(관리[[#This Row],[사번]],fa[사원번호],fa[소속부서],"")</f>
        <v/>
      </c>
      <c r="D14" t="str">
        <f>_xlfn.XLOOKUP(관리[[#This Row],[사번]],fa[사원번호],fa[영업가족명],"")</f>
        <v/>
      </c>
      <c r="E14" t="s">
        <v>11</v>
      </c>
    </row>
    <row r="15" spans="1:5" x14ac:dyDescent="0.3">
      <c r="A15">
        <v>1933538</v>
      </c>
      <c r="B15" t="str">
        <f>_xlfn.XLOOKUP(관리[[#This Row],[사번]],fa[사원번호],fa[성명],"")</f>
        <v/>
      </c>
      <c r="C15" t="str">
        <f>_xlfn.XLOOKUP(관리[[#This Row],[사번]],fa[사원번호],fa[소속부서],"")</f>
        <v/>
      </c>
      <c r="D15" t="str">
        <f>_xlfn.XLOOKUP(관리[[#This Row],[사번]],fa[사원번호],fa[영업가족명],"")</f>
        <v/>
      </c>
      <c r="E15" t="s">
        <v>11</v>
      </c>
    </row>
    <row r="16" spans="1:5" x14ac:dyDescent="0.3">
      <c r="A16">
        <v>1683195</v>
      </c>
      <c r="B16" t="str">
        <f>_xlfn.XLOOKUP(관리[[#This Row],[사번]],fa[사원번호],fa[성명],"")</f>
        <v/>
      </c>
      <c r="C16" t="str">
        <f>_xlfn.XLOOKUP(관리[[#This Row],[사번]],fa[사원번호],fa[소속부서],"")</f>
        <v/>
      </c>
      <c r="D16" t="str">
        <f>_xlfn.XLOOKUP(관리[[#This Row],[사번]],fa[사원번호],fa[영업가족명],"")</f>
        <v/>
      </c>
      <c r="E16" t="s">
        <v>11</v>
      </c>
    </row>
    <row r="17" spans="1:5" x14ac:dyDescent="0.3">
      <c r="A17">
        <v>1934617</v>
      </c>
      <c r="B17" t="str">
        <f>_xlfn.XLOOKUP(관리[[#This Row],[사번]],fa[사원번호],fa[성명],"")</f>
        <v/>
      </c>
      <c r="C17" t="str">
        <f>_xlfn.XLOOKUP(관리[[#This Row],[사번]],fa[사원번호],fa[소속부서],"")</f>
        <v/>
      </c>
      <c r="D17" t="str">
        <f>_xlfn.XLOOKUP(관리[[#This Row],[사번]],fa[사원번호],fa[영업가족명],"")</f>
        <v/>
      </c>
      <c r="E17" t="s">
        <v>11</v>
      </c>
    </row>
    <row r="18" spans="1:5" x14ac:dyDescent="0.3">
      <c r="A18">
        <v>2032638</v>
      </c>
      <c r="B18" t="str">
        <f>_xlfn.XLOOKUP(관리[[#This Row],[사번]],fa[사원번호],fa[성명],"")</f>
        <v/>
      </c>
      <c r="C18" t="str">
        <f>_xlfn.XLOOKUP(관리[[#This Row],[사번]],fa[사원번호],fa[소속부서],"")</f>
        <v/>
      </c>
      <c r="D18" t="str">
        <f>_xlfn.XLOOKUP(관리[[#This Row],[사번]],fa[사원번호],fa[영업가족명],"")</f>
        <v/>
      </c>
      <c r="E18" t="s">
        <v>11</v>
      </c>
    </row>
    <row r="19" spans="1:5" x14ac:dyDescent="0.3">
      <c r="A19">
        <v>2032762</v>
      </c>
      <c r="B19" t="str">
        <f>_xlfn.XLOOKUP(관리[[#This Row],[사번]],fa[사원번호],fa[성명],"")</f>
        <v/>
      </c>
      <c r="C19" t="str">
        <f>_xlfn.XLOOKUP(관리[[#This Row],[사번]],fa[사원번호],fa[소속부서],"")</f>
        <v/>
      </c>
      <c r="D19" t="str">
        <f>_xlfn.XLOOKUP(관리[[#This Row],[사번]],fa[사원번호],fa[영업가족명],"")</f>
        <v/>
      </c>
      <c r="E19" t="s">
        <v>11</v>
      </c>
    </row>
    <row r="20" spans="1:5" x14ac:dyDescent="0.3">
      <c r="A20">
        <v>2132679</v>
      </c>
      <c r="B20" t="str">
        <f>_xlfn.XLOOKUP(관리[[#This Row],[사번]],fa[사원번호],fa[성명],"")</f>
        <v/>
      </c>
      <c r="C20" t="str">
        <f>_xlfn.XLOOKUP(관리[[#This Row],[사번]],fa[사원번호],fa[소속부서],"")</f>
        <v/>
      </c>
      <c r="D20" t="str">
        <f>_xlfn.XLOOKUP(관리[[#This Row],[사번]],fa[사원번호],fa[영업가족명],"")</f>
        <v/>
      </c>
      <c r="E20" t="s">
        <v>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E11" sqref="E11"/>
    </sheetView>
  </sheetViews>
  <sheetFormatPr defaultRowHeight="16.5" x14ac:dyDescent="0.3"/>
  <cols>
    <col min="1" max="1" width="8.5" bestFit="1" customWidth="1"/>
    <col min="2" max="2" width="8.5" customWidth="1"/>
    <col min="3" max="3" width="10.875" bestFit="1" customWidth="1"/>
    <col min="4" max="4" width="10.875" customWidth="1"/>
    <col min="5" max="6" width="15.125" bestFit="1" customWidth="1"/>
    <col min="7" max="8" width="8.625" bestFit="1" customWidth="1"/>
    <col min="9" max="9" width="10.5" customWidth="1"/>
    <col min="11" max="11" width="11.125" bestFit="1" customWidth="1"/>
    <col min="13" max="13" width="9.25" bestFit="1" customWidth="1"/>
    <col min="14" max="14" width="10.5" bestFit="1" customWidth="1"/>
  </cols>
  <sheetData>
    <row r="1" spans="1:14" x14ac:dyDescent="0.3">
      <c r="A1" s="1" t="s">
        <v>2</v>
      </c>
      <c r="B1" s="1" t="s">
        <v>57</v>
      </c>
      <c r="C1" s="1" t="s">
        <v>3</v>
      </c>
      <c r="D1" s="1" t="s">
        <v>58</v>
      </c>
      <c r="E1" s="1" t="s">
        <v>14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0</v>
      </c>
      <c r="N1" s="1" t="s">
        <v>1</v>
      </c>
    </row>
    <row r="2" spans="1:14" x14ac:dyDescent="0.3">
      <c r="A2" cm="1">
        <f t="array" ref="A2">_xlfn.UNIQUE(fa[사원번호])</f>
        <v>0</v>
      </c>
      <c r="C2" t="str" cm="1">
        <f t="array" ref="C2">IF(_xlfn.XLOOKUP(_xlfn.ANCHORARRAY(A2),fa[사원번호],fa[성명],"")=0,"",_xlfn.XLOOKUP(_xlfn.ANCHORARRAY(A2),fa[사원번호],fa[성명],""))</f>
        <v/>
      </c>
      <c r="D2" t="b" cm="1">
        <f t="array" ref="D2">IF(_xlfn.ANCHORARRAY(A2)&gt;0,"MA부문")</f>
        <v>0</v>
      </c>
      <c r="E2" t="str" cm="1">
        <f t="array" ref="E2">_xlfn.XLOOKUP(_xlfn.ANCHORARRAY(A2),fa[사원번호],fa[소속부서],"")</f>
        <v/>
      </c>
      <c r="F2" t="str" cm="1">
        <f t="array" ref="F2">_xlfn.XLOOKUP(_xlfn.ANCHORARRAY(A2),fa[사원번호],fa[영업가족명],"")</f>
        <v/>
      </c>
      <c r="G2" t="str" cm="1">
        <f t="array" ref="G2">IF(_xlfn.XLOOKUP(_xlfn.ANCHORARRAY(A2),관리[사번],관리[권한],"")="최상위관리자","main_admin",IF(_xlfn.XLOOKUP(_xlfn.ANCHORARRAY(A2),관리[사번],관리[권한],"")="중간관리자","sub_admin",(IF(_xlfn.ANCHORARRAY(H2)="재직","Basic","Inactive"))))</f>
        <v>Inactive</v>
      </c>
      <c r="H2" t="str" cm="1">
        <f t="array" ref="H2">_xlfn.XLOOKUP(_xlfn.ANCHORARRAY(A2),fa[사원번호],fa[재직여부],"")</f>
        <v/>
      </c>
      <c r="I2" t="str" cm="1">
        <f t="array" ref="I2">_xlfn.XLOOKUP(_xlfn.ANCHORARRAY(A2),fa[사원번호],fa[유자격(사용인)],"")</f>
        <v/>
      </c>
      <c r="J2" t="str" cm="1">
        <f t="array" ref="J2">IF(TEXT(_xlfn.XLOOKUP(_xlfn.ANCHORARRAY(A2),fa[사원번호],fa[생년월일],""),"####-##-##")="--","",TEXT(_xlfn.XLOOKUP(_xlfn.ANCHORARRAY(A2),fa[사원번호],fa[생년월일],""),"####-##-##"))</f>
        <v/>
      </c>
      <c r="K2" t="str" cm="1">
        <f t="array" ref="K2">SUBSTITUTE(_xlfn.XLOOKUP(_xlfn.ANCHORARRAY(A2),fa[사원번호],fa[입사일자(사원)],""),"/","-")</f>
        <v/>
      </c>
      <c r="L2" t="str" cm="1">
        <f t="array" ref="L2">SUBSTITUTE(_xlfn.XLOOKUP(_xlfn.ANCHORARRAY(A2),fa[사원번호],fa[퇴사일자(사원)],""),"/","-")</f>
        <v/>
      </c>
      <c r="M2" t="b" cm="1">
        <f t="array" ref="M2">IF(_xlfn.ANCHORARRAY(A2)=TRUE,FALSE,FALSE)</f>
        <v>0</v>
      </c>
      <c r="N2" t="b" cm="1">
        <f t="array" ref="N2">IF(_xlfn.ANCHORARRAY(H2)=TRUE,TRUE,TRUE)</f>
        <v>1</v>
      </c>
    </row>
  </sheetData>
  <autoFilter ref="A1:N3333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유의사항</vt:lpstr>
      <vt:lpstr>영업가족직원조회</vt:lpstr>
      <vt:lpstr>관리자</vt:lpstr>
      <vt:lpstr>업로드</vt:lpstr>
      <vt:lpstr>업로드!_FilterDatabase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김상헌(1611851)</cp:lastModifiedBy>
  <dcterms:created xsi:type="dcterms:W3CDTF">2025-10-17T16:18:25Z</dcterms:created>
  <dcterms:modified xsi:type="dcterms:W3CDTF">2026-01-06T09:15:43Z</dcterms:modified>
</cp:coreProperties>
</file>