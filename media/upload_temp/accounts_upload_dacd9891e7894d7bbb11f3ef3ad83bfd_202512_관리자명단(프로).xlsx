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김상헌\Downloads\"/>
    </mc:Choice>
  </mc:AlternateContent>
  <xr:revisionPtr revIDLastSave="0" documentId="13_ncr:1_{29C0CD77-D5C9-48EF-BDCE-AF683ADDD00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유의사항" sheetId="4" r:id="rId1"/>
    <sheet name="영업가족직원조회" sheetId="2" r:id="rId2"/>
    <sheet name="관리자" sheetId="3" r:id="rId3"/>
    <sheet name="업로드" sheetId="1" r:id="rId4"/>
  </sheets>
  <definedNames>
    <definedName name="_xlnm._FilterDatabase" localSheetId="3">업로드!$A$1:$N$3333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3" l="1"/>
  <c r="C40" i="3"/>
  <c r="D40" i="3"/>
  <c r="B39" i="3"/>
  <c r="C39" i="3"/>
  <c r="D39" i="3"/>
  <c r="B38" i="3"/>
  <c r="C38" i="3"/>
  <c r="D38" i="3"/>
  <c r="B37" i="3"/>
  <c r="C37" i="3"/>
  <c r="D37" i="3"/>
  <c r="B36" i="3"/>
  <c r="C36" i="3"/>
  <c r="D36" i="3"/>
  <c r="B35" i="3"/>
  <c r="C35" i="3"/>
  <c r="D35" i="3"/>
  <c r="B34" i="3"/>
  <c r="C34" i="3"/>
  <c r="D34" i="3"/>
  <c r="B33" i="3"/>
  <c r="C33" i="3"/>
  <c r="D33" i="3"/>
  <c r="B32" i="3"/>
  <c r="C32" i="3"/>
  <c r="D32" i="3"/>
  <c r="B31" i="3"/>
  <c r="C31" i="3"/>
  <c r="D31" i="3"/>
  <c r="B30" i="3"/>
  <c r="C30" i="3"/>
  <c r="D30" i="3"/>
  <c r="B29" i="3"/>
  <c r="C29" i="3"/>
  <c r="D29" i="3"/>
  <c r="B28" i="3"/>
  <c r="C28" i="3"/>
  <c r="D28" i="3"/>
  <c r="B27" i="3"/>
  <c r="C27" i="3"/>
  <c r="D27" i="3"/>
  <c r="B26" i="3"/>
  <c r="C26" i="3"/>
  <c r="D26" i="3"/>
  <c r="B25" i="3"/>
  <c r="C25" i="3"/>
  <c r="D25" i="3"/>
  <c r="B24" i="3"/>
  <c r="C24" i="3"/>
  <c r="D24" i="3"/>
  <c r="B23" i="3"/>
  <c r="C23" i="3"/>
  <c r="D23" i="3"/>
  <c r="B22" i="3"/>
  <c r="C22" i="3"/>
  <c r="D22" i="3"/>
  <c r="B21" i="3"/>
  <c r="C21" i="3"/>
  <c r="D21" i="3"/>
  <c r="B20" i="3"/>
  <c r="C20" i="3"/>
  <c r="D20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2" i="3"/>
  <c r="D3" i="3"/>
  <c r="A2" i="1" a="1"/>
  <c r="A2" i="1" s="1"/>
  <c r="E2" i="1" s="1" a="1"/>
  <c r="E2" i="1" s="1"/>
  <c r="M2" i="1" l="1" a="1"/>
  <c r="M2" i="1" s="1"/>
  <c r="J2" i="1" a="1"/>
  <c r="J2" i="1" s="1"/>
  <c r="D2" i="1" a="1"/>
  <c r="D2" i="1" s="1"/>
  <c r="I2" i="1" a="1"/>
  <c r="I2" i="1" s="1"/>
  <c r="K2" i="1" a="1"/>
  <c r="K2" i="1" s="1"/>
  <c r="C2" i="1" a="1"/>
  <c r="C2" i="1" s="1"/>
  <c r="L2" i="1" a="1"/>
  <c r="L2" i="1" s="1"/>
  <c r="F2" i="1" a="1"/>
  <c r="F2" i="1" s="1"/>
  <c r="H2" i="1" a="1"/>
  <c r="H2" i="1" s="1"/>
  <c r="N2" i="1" s="1" a="1"/>
  <c r="N2" i="1" s="1"/>
  <c r="G2" i="1" l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<sst xmlns="http://schemas.openxmlformats.org/spreadsheetml/2006/main" count="759" uniqueCount="224">
  <si>
    <t>Is Staff</t>
  </si>
  <si>
    <t>Is Active</t>
  </si>
  <si>
    <t>사번</t>
    <phoneticPr fontId="2" type="noConversion"/>
  </si>
  <si>
    <t>성명</t>
    <phoneticPr fontId="2" type="noConversion"/>
  </si>
  <si>
    <t>엑셀로 업로드 시 유의사항</t>
    <phoneticPr fontId="2" type="noConversion"/>
  </si>
  <si>
    <t>1. [업로드] 시트는 절대 손대지 마세요.</t>
    <phoneticPr fontId="2" type="noConversion"/>
  </si>
  <si>
    <t>2. [영업가족직원조회] 시트에 IIMS 내 '영업가족직원조회' 페이지에 다운로드 받은 데이터를 붙여넣기 하세요.</t>
    <phoneticPr fontId="2" type="noConversion"/>
  </si>
  <si>
    <t>3. 기존에 등록된 FA가 있으면 변경된 정보만 업데이트되고, 새 FA 정보는 자동으로 새로 등록됩니다.</t>
    <phoneticPr fontId="2" type="noConversion"/>
  </si>
  <si>
    <t>4. 본 프로세스를 통해 기존 FA 정보를 삭제하는 것은 불가합니다. (Admin 페이지에서 직접 진행해주세요)</t>
    <phoneticPr fontId="2" type="noConversion"/>
  </si>
  <si>
    <t>5. 각 파트너 관리자(Admin) 권한 부여가 필요할 경우 [관리자] 시트에 사원번호를 입력해주세요. (사원번호 외 다른 데이터 수기입력 금지)</t>
    <phoneticPr fontId="2" type="noConversion"/>
  </si>
  <si>
    <t xml:space="preserve">   ※ 직원 관리자(Superuser)와는 다릅니다. 직원 관리자 추가 및 수정은 Admin 페이지에서 진행해주세요.</t>
    <phoneticPr fontId="2" type="noConversion"/>
  </si>
  <si>
    <t>최상위관리자</t>
    <phoneticPr fontId="2" type="noConversion"/>
  </si>
  <si>
    <t>영업가족</t>
    <phoneticPr fontId="2" type="noConversion"/>
  </si>
  <si>
    <t>중간관리자</t>
    <phoneticPr fontId="2" type="noConversion"/>
  </si>
  <si>
    <t>부서</t>
    <phoneticPr fontId="2" type="noConversion"/>
  </si>
  <si>
    <r>
      <rPr>
        <sz val="10"/>
        <rFont val="Arial"/>
        <family val="2"/>
        <charset val="1"/>
      </rPr>
      <t>성명</t>
    </r>
  </si>
  <si>
    <r>
      <rPr>
        <sz val="10"/>
        <rFont val="Arial"/>
        <family val="2"/>
        <charset val="1"/>
      </rPr>
      <t>사원번호</t>
    </r>
  </si>
  <si>
    <r>
      <rPr>
        <sz val="10"/>
        <rFont val="Arial"/>
        <family val="2"/>
        <charset val="1"/>
      </rPr>
      <t>재직여부</t>
    </r>
  </si>
  <si>
    <r>
      <rPr>
        <sz val="10"/>
        <rFont val="Arial"/>
        <family val="2"/>
        <charset val="1"/>
      </rPr>
      <t>영업가족명</t>
    </r>
  </si>
  <si>
    <r>
      <rPr>
        <sz val="10"/>
        <rFont val="Arial"/>
        <family val="2"/>
        <charset val="1"/>
      </rPr>
      <t>영업가족구분</t>
    </r>
  </si>
  <si>
    <r>
      <rPr>
        <sz val="10"/>
        <rFont val="Arial"/>
        <family val="2"/>
        <charset val="1"/>
      </rPr>
      <t>사용등급</t>
    </r>
  </si>
  <si>
    <r>
      <rPr>
        <sz val="10"/>
        <rFont val="Arial"/>
        <family val="2"/>
        <charset val="1"/>
      </rPr>
      <t>처리권한</t>
    </r>
  </si>
  <si>
    <r>
      <rPr>
        <sz val="10"/>
        <rFont val="Arial"/>
        <family val="2"/>
        <charset val="1"/>
      </rPr>
      <t>직급</t>
    </r>
  </si>
  <si>
    <r>
      <rPr>
        <sz val="10"/>
        <rFont val="Arial"/>
        <family val="2"/>
        <charset val="1"/>
      </rPr>
      <t>직책</t>
    </r>
  </si>
  <si>
    <r>
      <rPr>
        <sz val="10"/>
        <rFont val="Arial"/>
        <family val="2"/>
        <charset val="1"/>
      </rPr>
      <t>직무</t>
    </r>
  </si>
  <si>
    <r>
      <rPr>
        <sz val="10"/>
        <rFont val="Arial"/>
        <family val="2"/>
        <charset val="1"/>
      </rPr>
      <t>영업가족부서위치</t>
    </r>
  </si>
  <si>
    <r>
      <rPr>
        <sz val="10"/>
        <rFont val="Arial"/>
        <family val="2"/>
        <charset val="1"/>
      </rPr>
      <t>영업가족부서코드</t>
    </r>
  </si>
  <si>
    <r>
      <rPr>
        <sz val="10"/>
        <rFont val="Arial"/>
        <family val="2"/>
        <charset val="1"/>
      </rPr>
      <t>영업가족부서</t>
    </r>
  </si>
  <si>
    <r>
      <rPr>
        <sz val="10"/>
        <rFont val="Arial"/>
        <family val="2"/>
        <charset val="1"/>
      </rPr>
      <t>소속부서</t>
    </r>
  </si>
  <si>
    <r>
      <rPr>
        <sz val="10"/>
        <rFont val="Arial"/>
        <family val="2"/>
        <charset val="1"/>
      </rPr>
      <t>금융사고여부</t>
    </r>
  </si>
  <si>
    <r>
      <rPr>
        <sz val="10"/>
        <rFont val="Arial"/>
        <family val="2"/>
        <charset val="1"/>
      </rPr>
      <t>유자격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사용인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</si>
  <si>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휴대전화</t>
    </r>
    <r>
      <rPr>
        <sz val="10"/>
        <rFont val="Arial"/>
        <family val="2"/>
      </rPr>
      <t>.</t>
    </r>
  </si>
  <si>
    <r>
      <rPr>
        <sz val="10"/>
        <rFont val="Arial"/>
        <family val="2"/>
        <charset val="1"/>
      </rPr>
      <t>회사전화</t>
    </r>
  </si>
  <si>
    <r>
      <rPr>
        <sz val="10"/>
        <rFont val="Arial"/>
        <family val="2"/>
        <charset val="1"/>
      </rPr>
      <t>메일주소</t>
    </r>
  </si>
  <si>
    <r>
      <rPr>
        <sz val="10"/>
        <rFont val="Arial"/>
        <family val="2"/>
        <charset val="1"/>
      </rPr>
      <t>신분증</t>
    </r>
  </si>
  <si>
    <r>
      <rPr>
        <sz val="10"/>
        <rFont val="Arial"/>
        <family val="2"/>
        <charset val="1"/>
      </rPr>
      <t>통장사본</t>
    </r>
  </si>
  <si>
    <r>
      <rPr>
        <sz val="10"/>
        <rFont val="Arial"/>
        <family val="2"/>
        <charset val="1"/>
      </rPr>
      <t>위촉계약서</t>
    </r>
  </si>
  <si>
    <r>
      <t>E</t>
    </r>
    <r>
      <rPr>
        <sz val="10"/>
        <rFont val="Arial"/>
        <family val="2"/>
        <charset val="1"/>
      </rPr>
      <t>클린</t>
    </r>
  </si>
  <si>
    <r>
      <t>E</t>
    </r>
    <r>
      <rPr>
        <sz val="10"/>
        <rFont val="Arial"/>
        <family val="2"/>
        <charset val="1"/>
      </rPr>
      <t>클린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미동의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</si>
  <si>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사진</t>
    </r>
  </si>
  <si>
    <r>
      <rPr>
        <sz val="10"/>
        <rFont val="Arial"/>
        <family val="2"/>
        <charset val="1"/>
      </rPr>
      <t>지점효율신청서</t>
    </r>
  </si>
  <si>
    <r>
      <t>E</t>
    </r>
    <r>
      <rPr>
        <sz val="10"/>
        <rFont val="Arial"/>
        <family val="2"/>
        <charset val="1"/>
      </rPr>
      <t>클린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미동의</t>
    </r>
    <r>
      <rPr>
        <sz val="10"/>
        <rFont val="Arial"/>
        <family val="2"/>
      </rPr>
      <t>)</t>
    </r>
    <r>
      <rPr>
        <sz val="10"/>
        <rFont val="Arial"/>
        <family val="2"/>
        <charset val="1"/>
      </rPr>
      <t>사유</t>
    </r>
  </si>
  <si>
    <r>
      <rPr>
        <sz val="10"/>
        <rFont val="Arial"/>
        <family val="2"/>
        <charset val="1"/>
      </rPr>
      <t>경력여부</t>
    </r>
  </si>
  <si>
    <r>
      <rPr>
        <sz val="10"/>
        <rFont val="Arial"/>
        <family val="2"/>
        <charset val="1"/>
      </rPr>
      <t>생년월일</t>
    </r>
  </si>
  <si>
    <r>
      <rPr>
        <sz val="10"/>
        <rFont val="Arial"/>
        <family val="2"/>
        <charset val="1"/>
      </rPr>
      <t>생일구분</t>
    </r>
  </si>
  <si>
    <r>
      <rPr>
        <sz val="10"/>
        <rFont val="Arial"/>
        <family val="2"/>
        <charset val="1"/>
      </rPr>
      <t>명세보기</t>
    </r>
  </si>
  <si>
    <r>
      <rPr>
        <sz val="10"/>
        <rFont val="Arial"/>
        <family val="2"/>
        <charset val="1"/>
      </rPr>
      <t>입문과정수료여부</t>
    </r>
  </si>
  <si>
    <r>
      <rPr>
        <sz val="10"/>
        <rFont val="Arial"/>
        <family val="2"/>
        <charset val="1"/>
      </rPr>
      <t>입사일자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</si>
  <si>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퇴사일자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</si>
  <si>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등록일자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</si>
  <si>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금소법교육이수</t>
    </r>
  </si>
  <si>
    <r>
      <rPr>
        <sz val="10"/>
        <rFont val="Arial"/>
        <family val="2"/>
        <charset val="1"/>
      </rPr>
      <t>직무수행교육이수</t>
    </r>
  </si>
  <si>
    <r>
      <rPr>
        <sz val="10"/>
        <rFont val="Arial"/>
        <family val="2"/>
        <charset val="1"/>
      </rPr>
      <t>외국인여부</t>
    </r>
  </si>
  <si>
    <r>
      <rPr>
        <sz val="10"/>
        <rFont val="Arial"/>
        <family val="2"/>
        <charset val="1"/>
      </rPr>
      <t>외국인성명</t>
    </r>
  </si>
  <si>
    <r>
      <rPr>
        <sz val="10"/>
        <rFont val="Arial"/>
        <family val="2"/>
        <charset val="1"/>
      </rPr>
      <t>국적</t>
    </r>
  </si>
  <si>
    <r>
      <rPr>
        <sz val="10"/>
        <rFont val="Arial"/>
        <family val="2"/>
        <charset val="1"/>
      </rPr>
      <t>체류코드</t>
    </r>
  </si>
  <si>
    <t>권한</t>
    <phoneticPr fontId="2" type="noConversion"/>
  </si>
  <si>
    <t>비밀번호</t>
    <phoneticPr fontId="2" type="noConversion"/>
  </si>
  <si>
    <t>채널</t>
    <phoneticPr fontId="2" type="noConversion"/>
  </si>
  <si>
    <t>지점</t>
    <phoneticPr fontId="2" type="noConversion"/>
  </si>
  <si>
    <t>등급</t>
    <phoneticPr fontId="2" type="noConversion"/>
  </si>
  <si>
    <t>상태</t>
    <phoneticPr fontId="2" type="noConversion"/>
  </si>
  <si>
    <t>손생등록여부</t>
    <phoneticPr fontId="2" type="noConversion"/>
  </si>
  <si>
    <t>생년월일</t>
    <phoneticPr fontId="2" type="noConversion"/>
  </si>
  <si>
    <t>입사일</t>
    <phoneticPr fontId="2" type="noConversion"/>
  </si>
  <si>
    <t>퇴사일</t>
    <phoneticPr fontId="2" type="noConversion"/>
  </si>
  <si>
    <t>c</t>
  </si>
  <si>
    <t>N</t>
  </si>
  <si>
    <t>*</t>
  </si>
  <si>
    <t>Y</t>
  </si>
  <si>
    <t>FG</t>
  </si>
  <si>
    <t>1912330104</t>
  </si>
  <si>
    <t>b</t>
  </si>
  <si>
    <t>1912330148</t>
  </si>
  <si>
    <t>BCDFG</t>
  </si>
  <si>
    <t>2019/03/06</t>
  </si>
  <si>
    <t>2022/02/22</t>
  </si>
  <si>
    <t>1912330142</t>
  </si>
  <si>
    <t>BCDEFG</t>
  </si>
  <si>
    <t>2024/08/12</t>
  </si>
  <si>
    <t>1912330100</t>
  </si>
  <si>
    <t>1912330006</t>
  </si>
  <si>
    <t>2024/05/10</t>
  </si>
  <si>
    <t>2024/04/25</t>
  </si>
  <si>
    <t>1912330127</t>
  </si>
  <si>
    <t>19900611</t>
  </si>
  <si>
    <t>19921219</t>
  </si>
  <si>
    <t>19970421</t>
  </si>
  <si>
    <t>19920520</t>
  </si>
  <si>
    <t>19810108</t>
  </si>
  <si>
    <t>19890611</t>
  </si>
  <si>
    <t>1912330119</t>
  </si>
  <si>
    <t>1912330023</t>
  </si>
  <si>
    <t>1912330135</t>
  </si>
  <si>
    <t>1912330075</t>
  </si>
  <si>
    <t>1912330076</t>
  </si>
  <si>
    <t>2021/08/19</t>
  </si>
  <si>
    <t>1912330124</t>
  </si>
  <si>
    <t>2025/10/29</t>
  </si>
  <si>
    <t>19890328</t>
  </si>
  <si>
    <t>1912330125</t>
  </si>
  <si>
    <t>BDFG</t>
  </si>
  <si>
    <t>1912330240</t>
  </si>
  <si>
    <t>1912330198</t>
  </si>
  <si>
    <t>2025/05/21</t>
  </si>
  <si>
    <t>1912330062</t>
  </si>
  <si>
    <t>1912330093</t>
  </si>
  <si>
    <t>2022/08/05</t>
  </si>
  <si>
    <t>1912330122</t>
  </si>
  <si>
    <t>BDEFG</t>
  </si>
  <si>
    <t>2025/07/14</t>
  </si>
  <si>
    <t>19930120</t>
  </si>
  <si>
    <t>2023/03/23</t>
  </si>
  <si>
    <t>2022/01/14</t>
  </si>
  <si>
    <t>1912330149</t>
  </si>
  <si>
    <t>Premier.FA</t>
  </si>
  <si>
    <t>2024/04/23</t>
  </si>
  <si>
    <t>1912330220</t>
  </si>
  <si>
    <t>2023/10/10</t>
  </si>
  <si>
    <t>19930923</t>
  </si>
  <si>
    <t>2020/04/28</t>
  </si>
  <si>
    <t>19681207</t>
  </si>
  <si>
    <t>19790514</t>
  </si>
  <si>
    <t>19900720</t>
  </si>
  <si>
    <t>2024/07/17</t>
  </si>
  <si>
    <t>19891225</t>
  </si>
  <si>
    <t>19901011</t>
  </si>
  <si>
    <t>19910125</t>
  </si>
  <si>
    <t>19940408</t>
  </si>
  <si>
    <t>19990614</t>
  </si>
  <si>
    <t>2022/01/10</t>
  </si>
  <si>
    <t>19870713</t>
  </si>
  <si>
    <t>19950219</t>
  </si>
  <si>
    <t>19700614</t>
  </si>
  <si>
    <r>
      <rPr>
        <sz val="10"/>
        <color theme="1"/>
        <rFont val="맑은 고딕"/>
        <family val="2"/>
        <scheme val="minor"/>
      </rPr>
      <t>퇴사</t>
    </r>
  </si>
  <si>
    <r>
      <rPr>
        <sz val="10"/>
        <color theme="1"/>
        <rFont val="맑은 고딕"/>
        <family val="2"/>
        <scheme val="minor"/>
      </rPr>
      <t>등록</t>
    </r>
  </si>
  <si>
    <r>
      <t>MA</t>
    </r>
    <r>
      <rPr>
        <sz val="10"/>
        <color theme="1"/>
        <rFont val="맑은 고딕"/>
        <family val="2"/>
        <scheme val="minor"/>
      </rPr>
      <t>사업4부</t>
    </r>
  </si>
  <si>
    <r>
      <rPr>
        <sz val="10"/>
        <color theme="1"/>
        <rFont val="맑은 고딕"/>
        <family val="2"/>
        <scheme val="minor"/>
      </rPr>
      <t>신입</t>
    </r>
  </si>
  <si>
    <r>
      <rPr>
        <sz val="10"/>
        <color theme="1"/>
        <rFont val="맑은 고딕"/>
        <family val="2"/>
        <scheme val="minor"/>
      </rPr>
      <t>양</t>
    </r>
  </si>
  <si>
    <r>
      <rPr>
        <sz val="10"/>
        <color theme="1"/>
        <rFont val="맑은 고딕"/>
        <family val="2"/>
        <scheme val="minor"/>
      </rPr>
      <t>수료(2021-03-24)</t>
    </r>
  </si>
  <si>
    <r>
      <rPr>
        <sz val="10"/>
        <color theme="1"/>
        <rFont val="맑은 고딕"/>
        <family val="2"/>
        <scheme val="minor"/>
      </rPr>
      <t>미수료</t>
    </r>
  </si>
  <si>
    <r>
      <rPr>
        <sz val="10"/>
        <color theme="1"/>
        <rFont val="맑은 고딕"/>
        <family val="2"/>
        <scheme val="minor"/>
      </rPr>
      <t>아니오</t>
    </r>
  </si>
  <si>
    <r>
      <rPr>
        <sz val="10"/>
        <color theme="1"/>
        <rFont val="맑은 고딕"/>
        <family val="2"/>
        <scheme val="minor"/>
      </rPr>
      <t>프로사업단총괄</t>
    </r>
  </si>
  <si>
    <r>
      <rPr>
        <sz val="10"/>
        <color theme="1"/>
        <rFont val="맑은 고딕"/>
        <family val="2"/>
        <scheme val="minor"/>
      </rPr>
      <t>프로사업단총괄&gt;프로사업단해촉자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</si>
  <si>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</si>
  <si>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직할&gt;VISION지점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</si>
  <si>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성장지점</t>
    </r>
  </si>
  <si>
    <r>
      <rPr>
        <sz val="10"/>
        <color theme="1"/>
        <rFont val="맑은 고딕"/>
        <family val="2"/>
        <scheme val="minor"/>
      </rPr>
      <t>경력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</si>
  <si>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라이프지점</t>
    </r>
  </si>
  <si>
    <r>
      <rPr>
        <sz val="10"/>
        <color theme="1"/>
        <rFont val="맑은 고딕"/>
        <family val="2"/>
        <scheme val="minor"/>
      </rPr>
      <t>재직</t>
    </r>
  </si>
  <si>
    <r>
      <rPr>
        <sz val="10"/>
        <color theme="1"/>
        <rFont val="맑은 고딕"/>
        <family val="2"/>
        <scheme val="minor"/>
      </rPr>
      <t>손생등록</t>
    </r>
  </si>
  <si>
    <r>
      <t>2025</t>
    </r>
    <r>
      <rPr>
        <sz val="10"/>
        <color theme="1"/>
        <rFont val="맑은 고딕"/>
        <family val="2"/>
        <scheme val="minor"/>
      </rPr>
      <t>년03월2025년 필수직무수행 교육과정</t>
    </r>
  </si>
  <si>
    <r>
      <rPr>
        <sz val="10"/>
        <color theme="1"/>
        <rFont val="맑은 고딕"/>
        <family val="2"/>
        <scheme val="minor"/>
      </rPr>
      <t>수료(2025직무교육수료(2025-03-04))</t>
    </r>
  </si>
  <si>
    <r>
      <rPr>
        <sz val="10"/>
        <color theme="1"/>
        <rFont val="맑은 고딕"/>
        <family val="2"/>
        <scheme val="minor"/>
      </rPr>
      <t>지점장</t>
    </r>
  </si>
  <si>
    <r>
      <rPr>
        <sz val="10"/>
        <color theme="1"/>
        <rFont val="맑은 고딕"/>
        <family val="2"/>
        <scheme val="minor"/>
      </rPr>
      <t>수료(2025직무교육수료(2025-03-14))</t>
    </r>
  </si>
  <si>
    <r>
      <rPr>
        <sz val="10"/>
        <color theme="1"/>
        <rFont val="맑은 고딕"/>
        <family val="2"/>
        <scheme val="minor"/>
      </rPr>
      <t>수료(2025직무교육수료(2025-03-07))</t>
    </r>
  </si>
  <si>
    <r>
      <rPr>
        <sz val="10"/>
        <color theme="1"/>
        <rFont val="맑은 고딕"/>
        <family val="2"/>
        <scheme val="minor"/>
      </rPr>
      <t>손생말소</t>
    </r>
  </si>
  <si>
    <r>
      <t>2025</t>
    </r>
    <r>
      <rPr>
        <sz val="10"/>
        <color theme="1"/>
        <rFont val="맑은 고딕"/>
        <family val="2"/>
        <scheme val="minor"/>
      </rPr>
      <t>년03월25년 3월 사이버입문과정</t>
    </r>
  </si>
  <si>
    <r>
      <rPr>
        <sz val="10"/>
        <color theme="1"/>
        <rFont val="맑은 고딕"/>
        <family val="2"/>
        <scheme val="minor"/>
      </rPr>
      <t>수료(2025직무교육수료(2025-03-06))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</si>
  <si>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마이스터지점</t>
    </r>
  </si>
  <si>
    <r>
      <rPr>
        <sz val="10"/>
        <color theme="1"/>
        <rFont val="맑은 고딕"/>
        <family val="2"/>
        <scheme val="minor"/>
      </rPr>
      <t>수료(2021-03-08)</t>
    </r>
  </si>
  <si>
    <r>
      <rPr>
        <sz val="10"/>
        <color theme="1"/>
        <rFont val="맑은 고딕"/>
        <family val="2"/>
        <scheme val="minor"/>
      </rPr>
      <t>수료(2021-03-09)</t>
    </r>
  </si>
  <si>
    <r>
      <rPr>
        <sz val="10"/>
        <color theme="1"/>
        <rFont val="맑은 고딕"/>
        <family val="2"/>
        <scheme val="minor"/>
      </rPr>
      <t>프로사업단총괄&gt;Pro Enterprise&gt;다미본부</t>
    </r>
  </si>
  <si>
    <r>
      <rPr>
        <sz val="10"/>
        <color theme="1"/>
        <rFont val="맑은 고딕"/>
        <family val="2"/>
        <scheme val="minor"/>
      </rPr>
      <t>강영석</t>
    </r>
  </si>
  <si>
    <r>
      <rPr>
        <sz val="10"/>
        <color theme="1"/>
        <rFont val="맑은 고딕"/>
        <family val="2"/>
        <scheme val="minor"/>
      </rPr>
      <t>수석지점장</t>
    </r>
  </si>
  <si>
    <r>
      <t>2019</t>
    </r>
    <r>
      <rPr>
        <sz val="10"/>
        <color theme="1"/>
        <rFont val="맑은 고딕"/>
        <family val="2"/>
        <scheme val="minor"/>
      </rPr>
      <t>년03월[집합]입문과정</t>
    </r>
  </si>
  <si>
    <r>
      <rPr>
        <sz val="10"/>
        <color theme="1"/>
        <rFont val="맑은 고딕"/>
        <family val="2"/>
        <scheme val="minor"/>
      </rPr>
      <t>수료(2025직무교육수료(2025-03-25))</t>
    </r>
  </si>
  <si>
    <r>
      <rPr>
        <sz val="10"/>
        <color theme="1"/>
        <rFont val="맑은 고딕"/>
        <family val="2"/>
        <scheme val="minor"/>
      </rPr>
      <t>수료(2025직무교육수료(2025-03-26))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</si>
  <si>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직할&gt;행복지점</t>
    </r>
  </si>
  <si>
    <r>
      <t>2025</t>
    </r>
    <r>
      <rPr>
        <sz val="10"/>
        <color theme="1"/>
        <rFont val="맑은 고딕"/>
        <family val="2"/>
        <scheme val="minor"/>
      </rPr>
      <t>년07월25년 7월 사이버입문과정</t>
    </r>
  </si>
  <si>
    <r>
      <rPr>
        <sz val="10"/>
        <color theme="1"/>
        <rFont val="맑은 고딕"/>
        <family val="2"/>
        <scheme val="minor"/>
      </rPr>
      <t>수료(2025직무교육수료(2025-03-05))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</si>
  <si>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운정지점&gt;운정 TF팀</t>
    </r>
  </si>
  <si>
    <r>
      <rPr>
        <sz val="10"/>
        <color theme="1"/>
        <rFont val="맑은 고딕"/>
        <family val="2"/>
        <scheme val="minor"/>
      </rPr>
      <t>수료(2025직무교육수료(2025-03-12))</t>
    </r>
  </si>
  <si>
    <r>
      <t>2025</t>
    </r>
    <r>
      <rPr>
        <sz val="10"/>
        <color theme="1"/>
        <rFont val="맑은 고딕"/>
        <family val="2"/>
        <scheme val="minor"/>
      </rPr>
      <t>년05월25년 5월 사이버입문과정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</si>
  <si>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직할&gt;써니본부</t>
    </r>
  </si>
  <si>
    <r>
      <rPr>
        <sz val="10"/>
        <color theme="1"/>
        <rFont val="맑은 고딕"/>
        <family val="2"/>
        <scheme val="minor"/>
      </rPr>
      <t>본부장</t>
    </r>
  </si>
  <si>
    <r>
      <rPr>
        <sz val="10"/>
        <color theme="1"/>
        <rFont val="맑은 고딕"/>
        <family val="2"/>
        <scheme val="minor"/>
      </rPr>
      <t>프로사업단총괄&gt;Pro Enterprise&gt;구미본부 &gt;비상지점</t>
    </r>
  </si>
  <si>
    <r>
      <t>2025</t>
    </r>
    <r>
      <rPr>
        <sz val="10"/>
        <color theme="1"/>
        <rFont val="맑은 고딕"/>
        <family val="2"/>
        <scheme val="minor"/>
      </rPr>
      <t>년11월25년 11월 사이버입문과정</t>
    </r>
  </si>
  <si>
    <r>
      <rPr>
        <sz val="10"/>
        <color theme="1"/>
        <rFont val="맑은 고딕"/>
        <family val="2"/>
        <scheme val="minor"/>
      </rPr>
      <t>수료(2025직무교육수료(2025-11-24))</t>
    </r>
  </si>
  <si>
    <r>
      <rPr>
        <sz val="10"/>
        <color theme="1"/>
        <rFont val="맑은 고딕"/>
        <family val="2"/>
        <scheme val="minor"/>
      </rPr>
      <t>수료(2025직무교육수료(2025-03-13))</t>
    </r>
  </si>
  <si>
    <r>
      <rPr>
        <sz val="10"/>
        <color theme="1"/>
        <rFont val="맑은 고딕"/>
        <family val="2"/>
        <scheme val="minor"/>
      </rPr>
      <t>수료(2021-03-15)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</si>
  <si>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</si>
  <si>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로얄본부&gt;로얄 도약지점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</si>
  <si>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VIP지점</t>
    </r>
  </si>
  <si>
    <r>
      <rPr>
        <sz val="10"/>
        <color theme="1"/>
        <rFont val="맑은 고딕"/>
        <family val="2"/>
        <scheme val="minor"/>
      </rPr>
      <t>권순목</t>
    </r>
  </si>
  <si>
    <r>
      <rPr>
        <sz val="10"/>
        <color theme="1"/>
        <rFont val="맑은 고딕"/>
        <family val="2"/>
        <scheme val="minor"/>
      </rPr>
      <t>부본부장</t>
    </r>
  </si>
  <si>
    <r>
      <rPr>
        <sz val="10"/>
        <color theme="1"/>
        <rFont val="맑은 고딕"/>
        <family val="2"/>
        <scheme val="minor"/>
      </rPr>
      <t>수료(2022-09-06)</t>
    </r>
  </si>
  <si>
    <r>
      <rPr>
        <sz val="10"/>
        <color theme="1"/>
        <rFont val="맑은 고딕"/>
        <family val="2"/>
        <scheme val="minor"/>
      </rPr>
      <t>프로사업단총괄&gt;Pro Enterprise&gt;아너사업단</t>
    </r>
  </si>
  <si>
    <r>
      <rPr>
        <sz val="10"/>
        <color theme="1"/>
        <rFont val="맑은 고딕"/>
        <family val="2"/>
        <scheme val="minor"/>
      </rPr>
      <t>프로사업단총괄&gt;Pro Enterprise&gt;로얄사업단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</si>
  <si>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트리지점</t>
    </r>
  </si>
  <si>
    <r>
      <rPr>
        <sz val="10"/>
        <color theme="1"/>
        <rFont val="맑은 고딕"/>
        <family val="2"/>
        <scheme val="minor"/>
      </rPr>
      <t>수료(2021-03-05)</t>
    </r>
  </si>
  <si>
    <r>
      <rPr>
        <sz val="10"/>
        <color theme="1"/>
        <rFont val="맑은 고딕"/>
        <family val="2"/>
        <scheme val="minor"/>
      </rPr>
      <t>프로사업단총괄&gt;Pro Enterprise&gt;워너비본부&gt;워너비 S1지점</t>
    </r>
  </si>
  <si>
    <r>
      <t>2020</t>
    </r>
    <r>
      <rPr>
        <sz val="10"/>
        <color theme="1"/>
        <rFont val="맑은 고딕"/>
        <family val="2"/>
        <scheme val="minor"/>
      </rPr>
      <t>년05월[Cyber]입문과정 5월</t>
    </r>
  </si>
  <si>
    <r>
      <t>2023</t>
    </r>
    <r>
      <rPr>
        <sz val="10"/>
        <color theme="1"/>
        <rFont val="맑은 고딕"/>
        <family val="2"/>
        <scheme val="minor"/>
      </rPr>
      <t>년12월12월사이버입문과정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</si>
  <si>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원더지점</t>
    </r>
  </si>
  <si>
    <r>
      <rPr>
        <sz val="10"/>
        <color theme="1"/>
        <rFont val="맑은 고딕"/>
        <family val="2"/>
        <scheme val="minor"/>
      </rPr>
      <t>수료(2022-01-12)</t>
    </r>
  </si>
  <si>
    <r>
      <rPr>
        <sz val="10"/>
        <color theme="1"/>
        <rFont val="맑은 고딕"/>
        <family val="2"/>
        <scheme val="minor"/>
      </rPr>
      <t>수료(2022-03-21)</t>
    </r>
  </si>
  <si>
    <r>
      <rPr>
        <sz val="10"/>
        <color theme="1"/>
        <rFont val="맑은 고딕"/>
        <family val="2"/>
        <scheme val="minor"/>
      </rPr>
      <t>프로사업단총괄&gt;Pro Enterprise&gt;워너비본부</t>
    </r>
  </si>
  <si>
    <r>
      <rPr>
        <sz val="10"/>
        <color theme="1"/>
        <rFont val="맑은 고딕"/>
        <family val="2"/>
        <scheme val="minor"/>
      </rPr>
      <t>박혁규</t>
    </r>
  </si>
  <si>
    <r>
      <rPr>
        <sz val="10"/>
        <color theme="1"/>
        <rFont val="맑은 고딕"/>
        <family val="2"/>
        <scheme val="minor"/>
      </rPr>
      <t>배지형</t>
    </r>
  </si>
  <si>
    <r>
      <rPr>
        <sz val="10"/>
        <color theme="1"/>
        <rFont val="맑은 고딕"/>
        <family val="2"/>
        <scheme val="minor"/>
      </rPr>
      <t>서영미</t>
    </r>
  </si>
  <si>
    <r>
      <rPr>
        <sz val="10"/>
        <color theme="1"/>
        <rFont val="맑은 고딕"/>
        <family val="2"/>
        <scheme val="minor"/>
      </rPr>
      <t>손예지</t>
    </r>
  </si>
  <si>
    <r>
      <rPr>
        <sz val="10"/>
        <color theme="1"/>
        <rFont val="맑은 고딕"/>
        <family val="2"/>
        <scheme val="minor"/>
      </rPr>
      <t>송정훈</t>
    </r>
  </si>
  <si>
    <r>
      <rPr>
        <sz val="10"/>
        <color theme="1"/>
        <rFont val="맑은 고딕"/>
        <family val="2"/>
        <scheme val="minor"/>
      </rPr>
      <t>신현욱</t>
    </r>
  </si>
  <si>
    <r>
      <rPr>
        <sz val="10"/>
        <color theme="1"/>
        <rFont val="맑은 고딕"/>
        <family val="2"/>
        <scheme val="minor"/>
      </rPr>
      <t>수료(2025직무교육수료(2025-06-11))</t>
    </r>
  </si>
  <si>
    <r>
      <rPr>
        <sz val="10"/>
        <color theme="1"/>
        <rFont val="맑은 고딕"/>
        <family val="2"/>
        <scheme val="minor"/>
      </rPr>
      <t>이동주</t>
    </r>
  </si>
  <si>
    <r>
      <rPr>
        <sz val="10"/>
        <color theme="1"/>
        <rFont val="맑은 고딕"/>
        <family val="2"/>
        <scheme val="minor"/>
      </rPr>
      <t>이승현</t>
    </r>
  </si>
  <si>
    <r>
      <rPr>
        <sz val="10"/>
        <color theme="1"/>
        <rFont val="맑은 고딕"/>
        <family val="2"/>
        <scheme val="minor"/>
      </rPr>
      <t>사업단장</t>
    </r>
  </si>
  <si>
    <r>
      <rPr>
        <sz val="10"/>
        <color theme="1"/>
        <rFont val="맑은 고딕"/>
        <family val="2"/>
        <scheme val="minor"/>
      </rPr>
      <t>이태한</t>
    </r>
  </si>
  <si>
    <r>
      <rPr>
        <sz val="10"/>
        <color theme="1"/>
        <rFont val="맑은 고딕"/>
        <family val="2"/>
        <scheme val="minor"/>
      </rPr>
      <t>이하린</t>
    </r>
  </si>
  <si>
    <r>
      <rPr>
        <sz val="10"/>
        <color theme="1"/>
        <rFont val="맑은 고딕"/>
        <family val="2"/>
        <scheme val="minor"/>
      </rPr>
      <t>임근평</t>
    </r>
  </si>
  <si>
    <r>
      <rPr>
        <sz val="10"/>
        <color theme="1"/>
        <rFont val="맑은 고딕"/>
        <family val="2"/>
        <scheme val="minor"/>
      </rPr>
      <t>수료(2022-03-10)</t>
    </r>
  </si>
  <si>
    <r>
      <t>2024</t>
    </r>
    <r>
      <rPr>
        <sz val="10"/>
        <color theme="1"/>
        <rFont val="맑은 고딕"/>
        <family val="2"/>
        <scheme val="minor"/>
      </rPr>
      <t>년07월24년 7월 스타트업과정_온라인(IBA)</t>
    </r>
  </si>
  <si>
    <r>
      <rPr>
        <sz val="10"/>
        <color theme="1"/>
        <rFont val="맑은 고딕"/>
        <family val="2"/>
        <scheme val="minor"/>
      </rPr>
      <t>전성재</t>
    </r>
  </si>
  <si>
    <r>
      <rPr>
        <sz val="10"/>
        <color theme="1"/>
        <rFont val="맑은 고딕"/>
        <family val="2"/>
        <scheme val="minor"/>
      </rPr>
      <t>정영수</t>
    </r>
  </si>
  <si>
    <r>
      <rPr>
        <sz val="10"/>
        <color theme="1"/>
        <rFont val="맑은 고딕"/>
        <family val="2"/>
        <scheme val="minor"/>
      </rPr>
      <t>수료(2025직무교육수료(2025-07-17))</t>
    </r>
  </si>
  <si>
    <r>
      <rPr>
        <sz val="10"/>
        <color theme="1"/>
        <rFont val="맑은 고딕"/>
        <family val="2"/>
        <scheme val="minor"/>
      </rPr>
      <t>조혁</t>
    </r>
  </si>
  <si>
    <r>
      <rPr>
        <sz val="10"/>
        <color theme="1"/>
        <rFont val="맑은 고딕"/>
        <family val="2"/>
        <scheme val="minor"/>
      </rPr>
      <t>최승은</t>
    </r>
  </si>
  <si>
    <r>
      <rPr>
        <sz val="10"/>
        <color theme="1"/>
        <rFont val="맑은 고딕"/>
        <family val="2"/>
        <scheme val="minor"/>
      </rPr>
      <t>최영훈</t>
    </r>
  </si>
  <si>
    <r>
      <rPr>
        <sz val="10"/>
        <color theme="1"/>
        <rFont val="맑은 고딕"/>
        <family val="2"/>
        <scheme val="minor"/>
      </rPr>
      <t>최은영</t>
    </r>
  </si>
  <si>
    <r>
      <rPr>
        <sz val="10"/>
        <color theme="1"/>
        <rFont val="맑은 고딕"/>
        <family val="2"/>
        <scheme val="minor"/>
      </rPr>
      <t>홍종현</t>
    </r>
  </si>
  <si>
    <r>
      <rPr>
        <sz val="10"/>
        <color theme="1"/>
        <rFont val="Malgun Gothic"/>
        <family val="2"/>
        <charset val="129"/>
      </rPr>
      <t>관리자</t>
    </r>
    <phoneticPr fontId="2" type="noConversion"/>
  </si>
  <si>
    <r>
      <t>A</t>
    </r>
    <r>
      <rPr>
        <sz val="10"/>
        <rFont val="맑은 고딕"/>
        <family val="2"/>
        <charset val="129"/>
      </rPr>
      <t>레벨</t>
    </r>
    <phoneticPr fontId="2" type="noConversion"/>
  </si>
  <si>
    <r>
      <t>B</t>
    </r>
    <r>
      <rPr>
        <sz val="10"/>
        <rFont val="맑은 고딕"/>
        <family val="2"/>
        <charset val="129"/>
      </rPr>
      <t>레벨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</si>
</sst>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sz val="10"/>
      <name val="Arial"/>
      <family val="2"/>
      <charset val="1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color theme="1"/>
      <name val="맑은 고딕"/>
      <family val="2"/>
      <scheme val="minor"/>
    </font>
    <font>
      <sz val="10"/>
      <color theme="1"/>
      <name val="Malgun Gothic"/>
      <family val="2"/>
      <charset val="129"/>
    </font>
    <font>
      <sz val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5" fillId="0" borderId="0" xfId="1" applyNumberFormat="1" applyFont="1" applyFill="1" applyAlignment="1">
      <alignment vertical="center"/>
    </xf>
    <xf numFmtId="0" fontId="5" fillId="0" borderId="0" xfId="1" applyFont="1" applyFill="1" applyAlignment="1">
      <alignment vertical="center"/>
    </xf>
    <xf numFmtId="0" fontId="0" fillId="0" borderId="0" xfId="0" applyNumberFormat="1"/>
  </cellXfs>
  <cellStyles count="2">
    <cellStyle name="표준" xfId="0" builtinId="0"/>
    <cellStyle name="표준 2" xfId="1" xr:uid="{85D98B4D-8E53-4714-8A84-5E229C6B873C}"/>
  </cellStyles>
  <dxfs count="46"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4A1061-07B2-4F8B-BD7A-AF5E45AEDB23}" name="fa" displayName="fa" ref="A1:AP21" totalsRowShown="0" headerRowDxfId="1" dataDxfId="0" headerRowCellStyle="표준 2" dataCellStyle="표준 2">
  <autoFilter ref="A1:AP21" xr:uid="{D74A1061-07B2-4F8B-BD7A-AF5E45AEDB23}"/>
  <tableColumns count="42">
    <tableColumn id="1" xr3:uid="{86FA6536-69C9-45C2-9F44-9ED781DADAF2}" name="성명" dataDxfId="43" dataCellStyle="표준 2"/>
    <tableColumn id="2" xr3:uid="{30DBE2BB-B3DF-465C-B777-FA3D65CB36E7}" name="사원번호" dataDxfId="42" dataCellStyle="표준 2"/>
    <tableColumn id="3" xr3:uid="{B04C09C3-1E8A-4904-BB6E-57C412F95A15}" name="재직여부" dataDxfId="41" dataCellStyle="표준 2"/>
    <tableColumn id="4" xr3:uid="{0921C363-5F64-43CE-AE8A-3117F8570F3E}" name="영업가족명" dataDxfId="40" dataCellStyle="표준 2"/>
    <tableColumn id="5" xr3:uid="{9CFDA35B-1CE1-4195-91CC-AA40F3299F99}" name="영업가족구분" dataDxfId="39" dataCellStyle="표준 2"/>
    <tableColumn id="6" xr3:uid="{27D18000-9A51-4493-A11B-017C5A945A4C}" name="사용등급" dataDxfId="38" dataCellStyle="표준 2"/>
    <tableColumn id="7" xr3:uid="{140E5417-753E-4047-B6C7-98EA3B44295E}" name="처리권한" dataDxfId="37" dataCellStyle="표준 2"/>
    <tableColumn id="8" xr3:uid="{4B075BE9-2BAA-4E9E-8221-2B8686A17B63}" name="직급" dataDxfId="36" dataCellStyle="표준 2"/>
    <tableColumn id="9" xr3:uid="{B499BF19-2B79-46C2-90ED-04815E9690C9}" name="직책" dataDxfId="35" dataCellStyle="표준 2"/>
    <tableColumn id="10" xr3:uid="{8CF1307F-65A6-4286-9138-D0BD6AE40587}" name="직무" dataDxfId="34" dataCellStyle="표준 2"/>
    <tableColumn id="11" xr3:uid="{01A51918-AFD8-49B7-88B1-37524A375F66}" name="영업가족부서위치" dataDxfId="33" dataCellStyle="표준 2"/>
    <tableColumn id="12" xr3:uid="{EAAD3F47-19F0-450F-83F9-169308BC286D}" name="영업가족부서코드" dataDxfId="32" dataCellStyle="표준 2"/>
    <tableColumn id="13" xr3:uid="{26F2BBD7-2608-4C6A-984B-CF3F8937B5D1}" name="영업가족부서" dataDxfId="31" dataCellStyle="표준 2"/>
    <tableColumn id="14" xr3:uid="{BB85756E-76CF-4FB4-9C26-CD50137EB7F0}" name="소속부서" dataDxfId="30" dataCellStyle="표준 2"/>
    <tableColumn id="15" xr3:uid="{78730CC0-0E16-4FC7-A69B-034299260286}" name="금융사고여부" dataDxfId="29" dataCellStyle="표준 2"/>
    <tableColumn id="16" xr3:uid="{21D5EE0F-07B9-4D9F-A8D4-5A0630010785}" name="유자격(사용인)" dataDxfId="28" dataCellStyle="표준 2"/>
    <tableColumn id="17" xr3:uid="{068FB296-17A5-46AC-8F82-CE809088F802}" name="휴대전화." dataDxfId="27" dataCellStyle="표준 2"/>
    <tableColumn id="18" xr3:uid="{035C923B-EAB2-46C3-8E00-63F1BDCD780C}" name="회사전화" dataDxfId="26" dataCellStyle="표준 2"/>
    <tableColumn id="19" xr3:uid="{176AEF23-F298-45AD-9A1F-739A60E9C738}" name="메일주소" dataDxfId="25" dataCellStyle="표준 2"/>
    <tableColumn id="20" xr3:uid="{59CEA1A4-0BCD-45A2-8EDF-221AF5AC4631}" name="신분증" dataDxfId="24" dataCellStyle="표준 2"/>
    <tableColumn id="21" xr3:uid="{851F0A2C-E30F-46E9-BB51-F254A0522AF0}" name="통장사본" dataDxfId="23" dataCellStyle="표준 2"/>
    <tableColumn id="22" xr3:uid="{D85D570F-50C8-41F6-B2CD-5983493D5DFF}" name="위촉계약서" dataDxfId="22" dataCellStyle="표준 2"/>
    <tableColumn id="23" xr3:uid="{5C0D05EF-CC4A-4873-BCDF-4B247A869FE0}" name="E클린" dataDxfId="21" dataCellStyle="표준 2"/>
    <tableColumn id="24" xr3:uid="{18B81226-9093-4C8D-B078-845C6D6B7612}" name="E클린(미동의)" dataDxfId="20" dataCellStyle="표준 2"/>
    <tableColumn id="25" xr3:uid="{7D570653-E9CC-43A7-A84E-5BF5D2FA3115}" name="사진" dataDxfId="19" dataCellStyle="표준 2"/>
    <tableColumn id="26" xr3:uid="{465C6FAF-1A30-401F-8896-F5A96E76D409}" name="지점효율신청서" dataDxfId="18" dataCellStyle="표준 2"/>
    <tableColumn id="27" xr3:uid="{3A960143-F69E-4CDE-9807-6C199B5A008D}" name="E클린(미동의)사유" dataDxfId="17" dataCellStyle="표준 2"/>
    <tableColumn id="28" xr3:uid="{929FCA42-BEA1-41E3-885E-190DB2DD8F56}" name="경력여부" dataDxfId="16" dataCellStyle="표준 2"/>
    <tableColumn id="29" xr3:uid="{C63324AD-D5FC-44A7-A364-C741B4964C1D}" name="생년월일" dataDxfId="15" dataCellStyle="표준 2"/>
    <tableColumn id="30" xr3:uid="{09F1C48B-FBE8-4E34-8508-8AC62AB1409C}" name="생일구분" dataDxfId="14" dataCellStyle="표준 2"/>
    <tableColumn id="31" xr3:uid="{F5F3939C-6C89-4ADA-960F-EE75463D6350}" name="명세보기" dataDxfId="13" dataCellStyle="표준 2"/>
    <tableColumn id="32" xr3:uid="{51E5DADA-D51D-4BE2-98B0-6B45E007EF35}" name="입문과정수료여부" dataDxfId="12" dataCellStyle="표준 2"/>
    <tableColumn id="33" xr3:uid="{C026F133-D47D-40A1-AF55-5ECCDF156D44}" name="입사일자(사원)" dataDxfId="11" dataCellStyle="표준 2"/>
    <tableColumn id="34" xr3:uid="{3F61E426-6B46-4E78-9A65-4F0C9A2D8B69}" name="퇴사일자(사원)" dataDxfId="10" dataCellStyle="표준 2"/>
    <tableColumn id="35" xr3:uid="{3AAB497C-A028-4EE2-83C3-DD256B1A0705}" name="등록일자(사원)" dataDxfId="9" dataCellStyle="표준 2"/>
    <tableColumn id="36" xr3:uid="{AD7EC97F-6F90-402F-BE74-13F508C90A49}" name="금소법교육이수" dataDxfId="8" dataCellStyle="표준 2"/>
    <tableColumn id="37" xr3:uid="{CBB62D51-D070-46B8-92F9-437938322E47}" name="직무수행교육이수" dataDxfId="7" dataCellStyle="표준 2"/>
    <tableColumn id="38" xr3:uid="{EEB9C9E6-DF19-4286-A7CA-4FC88F89A0F7}" name="외국인여부" dataDxfId="6" dataCellStyle="표준 2"/>
    <tableColumn id="39" xr3:uid="{1B84197A-B530-4792-8475-787FF8120BE0}" name="외국인성명" dataDxfId="5" dataCellStyle="표준 2"/>
    <tableColumn id="40" xr3:uid="{043DBB1D-E623-49A1-9773-9E95DEB449E3}" name="국적" dataDxfId="4" dataCellStyle="표준 2"/>
    <tableColumn id="41" xr3:uid="{3B1892BC-73B0-4E61-81BC-ED209742D00B}" name="체류코드" dataDxfId="3" dataCellStyle="표준 2"/>
    <tableColumn id="42" xr3:uid="{1540C37B-0241-4D48-A3A3-3324379AC8A7}" name="관리자" dataDxfId="2" dataCellStyle="표준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C39E61-FE22-48AB-AFB1-C0136E23A116}" name="관리" displayName="관리" ref="A1:E40" totalsRowShown="0">
  <autoFilter ref="A1:E40" xr:uid="{90C39E61-FE22-48AB-AFB1-C0136E23A116}"/>
  <tableColumns count="5">
    <tableColumn id="1" xr3:uid="{DC5C9EB5-E452-4795-906D-45F3E6125814}" name="사번"/>
    <tableColumn id="2" xr3:uid="{D75E4722-FE32-4719-B9EA-E6E6C7167F56}" name="성명">
      <calculatedColumnFormula>_xlfn.XLOOKUP(관리[[#This Row],[사번]],fa[사원번호],fa[성명],"")</calculatedColumnFormula>
    </tableColumn>
    <tableColumn id="5" xr3:uid="{A45D7A99-7E4B-4E97-896A-6C903CD8B7EF}" name="부서" dataDxfId="45">
      <calculatedColumnFormula>_xlfn.XLOOKUP(관리[[#This Row],[사번]],fa[사원번호],fa[소속부서],"")</calculatedColumnFormula>
    </tableColumn>
    <tableColumn id="4" xr3:uid="{87339966-57A2-4EA3-82A4-10E0728FEB7C}" name="영업가족" dataDxfId="44">
      <calculatedColumnFormula>_xlfn.XLOOKUP(관리[[#This Row],[사번]],fa[사원번호],fa[영업가족명],"")</calculatedColumnFormula>
    </tableColumn>
    <tableColumn id="3" xr3:uid="{576E46A0-D3CF-4E90-B74F-5A00ACD3B189}" name="권한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8AB5-32B0-4655-8055-2D89DBF43B95}">
  <sheetPr>
    <tabColor rgb="FFFF0000"/>
  </sheetPr>
  <dimension ref="A1:A8"/>
  <sheetViews>
    <sheetView workbookViewId="0"/>
  </sheetViews>
  <sheetFormatPr defaultRowHeight="16.5"/>
  <sheetData>
    <row r="1" spans="1:1" ht="20.25">
      <c r="A1" s="2" t="s">
        <v>4</v>
      </c>
    </row>
    <row r="3" spans="1:1">
      <c r="A3" t="s">
        <v>5</v>
      </c>
    </row>
    <row r="4" spans="1:1">
      <c r="A4" t="s">
        <v>6</v>
      </c>
    </row>
    <row r="5" spans="1:1">
      <c r="A5" t="s">
        <v>7</v>
      </c>
    </row>
    <row r="6" spans="1:1">
      <c r="A6" t="s">
        <v>8</v>
      </c>
    </row>
    <row r="7" spans="1:1">
      <c r="A7" t="s">
        <v>9</v>
      </c>
    </row>
    <row r="8" spans="1:1">
      <c r="A8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709E-BEA1-4488-A08B-3BFBD0038ADF}">
  <sheetPr>
    <tabColor rgb="FFFFFF00"/>
  </sheetPr>
  <dimension ref="A1:AP21"/>
  <sheetViews>
    <sheetView tabSelected="1" zoomScaleNormal="100" workbookViewId="0"/>
  </sheetViews>
  <sheetFormatPr defaultRowHeight="12.75"/>
  <cols>
    <col min="1" max="1" width="17.5" style="3" customWidth="1"/>
    <col min="2" max="3" width="9.25" style="3" customWidth="1"/>
    <col min="4" max="4" width="21.875" style="3" customWidth="1"/>
    <col min="5" max="5" width="12.5" style="3" customWidth="1"/>
    <col min="6" max="7" width="9.25" style="3" customWidth="1"/>
    <col min="8" max="9" width="8.75" style="3" customWidth="1"/>
    <col min="10" max="10" width="17.5" style="3" customWidth="1"/>
    <col min="11" max="11" width="15.75" style="3" customWidth="1"/>
    <col min="12" max="12" width="17.5" style="3" customWidth="1"/>
    <col min="13" max="13" width="35" style="3" customWidth="1"/>
    <col min="14" max="14" width="13.125" style="3" customWidth="1"/>
    <col min="15" max="16" width="17.5" style="3" customWidth="1"/>
    <col min="17" max="17" width="9.75" style="3" customWidth="1"/>
    <col min="18" max="19" width="9.25" style="3" customWidth="1"/>
    <col min="20" max="20" width="8.75" style="3" customWidth="1"/>
    <col min="21" max="21" width="9.25" style="3" customWidth="1"/>
    <col min="22" max="22" width="10.875" style="3" customWidth="1"/>
    <col min="23" max="25" width="13.125" style="3" customWidth="1"/>
    <col min="26" max="26" width="14.125" style="3" customWidth="1"/>
    <col min="27" max="27" width="26.25" style="3" customWidth="1"/>
    <col min="28" max="31" width="13.125" style="3" customWidth="1"/>
    <col min="32" max="32" width="15.75" style="3" customWidth="1"/>
    <col min="33" max="35" width="13.5" style="3" customWidth="1"/>
    <col min="36" max="36" width="24.5" style="3" customWidth="1"/>
    <col min="37" max="37" width="15.75" style="3" customWidth="1"/>
    <col min="38" max="38" width="17.5" style="3" customWidth="1"/>
    <col min="39" max="39" width="13.125" style="3" customWidth="1"/>
    <col min="40" max="40" width="10.5" style="3" customWidth="1"/>
    <col min="41" max="41" width="9.25" style="3" customWidth="1"/>
    <col min="42" max="16384" width="9" style="3"/>
  </cols>
  <sheetData>
    <row r="1" spans="1:42" ht="13.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  <c r="V1" s="3" t="s">
        <v>36</v>
      </c>
      <c r="W1" s="3" t="s">
        <v>37</v>
      </c>
      <c r="X1" s="3" t="s">
        <v>38</v>
      </c>
      <c r="Y1" s="3" t="s">
        <v>39</v>
      </c>
      <c r="Z1" s="3" t="s">
        <v>40</v>
      </c>
      <c r="AA1" s="3" t="s">
        <v>41</v>
      </c>
      <c r="AB1" s="3" t="s">
        <v>42</v>
      </c>
      <c r="AC1" s="3" t="s">
        <v>43</v>
      </c>
      <c r="AD1" s="3" t="s">
        <v>44</v>
      </c>
      <c r="AE1" s="3" t="s">
        <v>45</v>
      </c>
      <c r="AF1" s="3" t="s">
        <v>46</v>
      </c>
      <c r="AG1" s="3" t="s">
        <v>47</v>
      </c>
      <c r="AH1" s="3" t="s">
        <v>48</v>
      </c>
      <c r="AI1" s="3" t="s">
        <v>49</v>
      </c>
      <c r="AJ1" s="3" t="s">
        <v>50</v>
      </c>
      <c r="AK1" s="3" t="s">
        <v>51</v>
      </c>
      <c r="AL1" s="3" t="s">
        <v>52</v>
      </c>
      <c r="AM1" s="3" t="s">
        <v>53</v>
      </c>
      <c r="AN1" s="3" t="s">
        <v>54</v>
      </c>
      <c r="AO1" s="3" t="s">
        <v>55</v>
      </c>
      <c r="AP1" s="6" t="s">
        <v>221</v>
      </c>
    </row>
    <row r="2" spans="1:42" ht="13.5">
      <c r="A2" s="4" t="s">
        <v>163</v>
      </c>
      <c r="B2" s="3">
        <v>1930659</v>
      </c>
      <c r="C2" s="4" t="s">
        <v>149</v>
      </c>
      <c r="D2" s="4" t="s">
        <v>142</v>
      </c>
      <c r="E2" s="4" t="s">
        <v>135</v>
      </c>
      <c r="F2" s="4" t="s">
        <v>72</v>
      </c>
      <c r="G2" s="4" t="s">
        <v>74</v>
      </c>
      <c r="H2" s="4" t="s">
        <v>164</v>
      </c>
      <c r="I2" s="4"/>
      <c r="J2" s="4"/>
      <c r="K2" s="4" t="s">
        <v>146</v>
      </c>
      <c r="L2" s="4" t="s">
        <v>94</v>
      </c>
      <c r="M2" s="4" t="s">
        <v>146</v>
      </c>
      <c r="N2" s="4" t="s">
        <v>136</v>
      </c>
      <c r="O2" s="4" t="s">
        <v>67</v>
      </c>
      <c r="P2" s="4" t="s">
        <v>150</v>
      </c>
      <c r="Q2" s="4" t="s">
        <v>68</v>
      </c>
      <c r="R2" s="4"/>
      <c r="S2" s="4"/>
      <c r="T2" s="4" t="s">
        <v>69</v>
      </c>
      <c r="U2" s="4" t="s">
        <v>69</v>
      </c>
      <c r="V2" s="4" t="s">
        <v>69</v>
      </c>
      <c r="W2" s="4" t="s">
        <v>69</v>
      </c>
      <c r="X2" s="4" t="s">
        <v>67</v>
      </c>
      <c r="Y2" s="4" t="s">
        <v>69</v>
      </c>
      <c r="Z2" s="4" t="s">
        <v>69</v>
      </c>
      <c r="AA2" s="4"/>
      <c r="AB2" s="4"/>
      <c r="AC2" s="4" t="s">
        <v>99</v>
      </c>
      <c r="AD2" s="4" t="s">
        <v>138</v>
      </c>
      <c r="AE2" s="4" t="s">
        <v>69</v>
      </c>
      <c r="AF2" s="4" t="s">
        <v>165</v>
      </c>
      <c r="AG2" s="4" t="s">
        <v>75</v>
      </c>
      <c r="AH2" s="4"/>
      <c r="AI2" s="4" t="s">
        <v>75</v>
      </c>
      <c r="AJ2" s="4" t="s">
        <v>160</v>
      </c>
      <c r="AK2" s="4" t="s">
        <v>166</v>
      </c>
      <c r="AL2" s="4" t="s">
        <v>141</v>
      </c>
      <c r="AM2" s="4"/>
      <c r="AN2" s="4"/>
      <c r="AO2" s="4"/>
      <c r="AP2" s="5" t="s">
        <v>222</v>
      </c>
    </row>
    <row r="3" spans="1:42" ht="13.5">
      <c r="A3" s="4" t="s">
        <v>184</v>
      </c>
      <c r="B3" s="3">
        <v>2233530</v>
      </c>
      <c r="C3" s="4" t="s">
        <v>149</v>
      </c>
      <c r="D3" s="4" t="s">
        <v>142</v>
      </c>
      <c r="E3" s="4" t="s">
        <v>135</v>
      </c>
      <c r="F3" s="4" t="s">
        <v>72</v>
      </c>
      <c r="G3" s="4" t="s">
        <v>74</v>
      </c>
      <c r="H3" s="4" t="s">
        <v>185</v>
      </c>
      <c r="I3" s="4"/>
      <c r="J3" s="4"/>
      <c r="K3" s="4" t="s">
        <v>181</v>
      </c>
      <c r="L3" s="4" t="s">
        <v>105</v>
      </c>
      <c r="M3" s="4" t="s">
        <v>181</v>
      </c>
      <c r="N3" s="4" t="s">
        <v>136</v>
      </c>
      <c r="O3" s="4" t="s">
        <v>67</v>
      </c>
      <c r="P3" s="4" t="s">
        <v>150</v>
      </c>
      <c r="Q3" s="4" t="s">
        <v>68</v>
      </c>
      <c r="R3" s="4"/>
      <c r="S3" s="4" t="s">
        <v>68</v>
      </c>
      <c r="T3" s="4" t="s">
        <v>69</v>
      </c>
      <c r="U3" s="4" t="s">
        <v>69</v>
      </c>
      <c r="V3" s="4" t="s">
        <v>69</v>
      </c>
      <c r="W3" s="4" t="s">
        <v>69</v>
      </c>
      <c r="X3" s="4" t="s">
        <v>67</v>
      </c>
      <c r="Y3" s="4" t="s">
        <v>69</v>
      </c>
      <c r="Z3" s="4" t="s">
        <v>69</v>
      </c>
      <c r="AA3" s="4"/>
      <c r="AB3" s="4" t="s">
        <v>147</v>
      </c>
      <c r="AC3" s="4" t="s">
        <v>111</v>
      </c>
      <c r="AD3" s="4" t="s">
        <v>138</v>
      </c>
      <c r="AE3" s="4" t="s">
        <v>69</v>
      </c>
      <c r="AF3" s="4" t="s">
        <v>151</v>
      </c>
      <c r="AG3" s="4" t="s">
        <v>107</v>
      </c>
      <c r="AH3" s="4"/>
      <c r="AI3" s="4" t="s">
        <v>107</v>
      </c>
      <c r="AJ3" s="4" t="s">
        <v>186</v>
      </c>
      <c r="AK3" s="4" t="s">
        <v>152</v>
      </c>
      <c r="AL3" s="4" t="s">
        <v>141</v>
      </c>
      <c r="AM3" s="4"/>
      <c r="AN3" s="4"/>
      <c r="AO3" s="4"/>
      <c r="AP3" s="5" t="s">
        <v>222</v>
      </c>
    </row>
    <row r="4" spans="1:42" ht="13.5">
      <c r="A4" s="4" t="s">
        <v>198</v>
      </c>
      <c r="B4" s="3">
        <v>2031355</v>
      </c>
      <c r="C4" s="4" t="s">
        <v>134</v>
      </c>
      <c r="D4" s="4" t="s">
        <v>142</v>
      </c>
      <c r="E4" s="4" t="s">
        <v>135</v>
      </c>
      <c r="F4" s="4" t="s">
        <v>66</v>
      </c>
      <c r="G4" s="4" t="s">
        <v>70</v>
      </c>
      <c r="H4" s="4" t="s">
        <v>115</v>
      </c>
      <c r="I4" s="4"/>
      <c r="J4" s="4"/>
      <c r="K4" s="4" t="s">
        <v>143</v>
      </c>
      <c r="L4" s="4" t="s">
        <v>92</v>
      </c>
      <c r="M4" s="4" t="s">
        <v>143</v>
      </c>
      <c r="N4" s="4" t="s">
        <v>136</v>
      </c>
      <c r="O4" s="4" t="s">
        <v>67</v>
      </c>
      <c r="P4" s="4" t="s">
        <v>156</v>
      </c>
      <c r="Q4" s="4" t="s">
        <v>68</v>
      </c>
      <c r="R4" s="4"/>
      <c r="S4" s="4"/>
      <c r="T4" s="4" t="s">
        <v>69</v>
      </c>
      <c r="U4" s="4" t="s">
        <v>69</v>
      </c>
      <c r="V4" s="4" t="s">
        <v>69</v>
      </c>
      <c r="W4" s="4" t="s">
        <v>69</v>
      </c>
      <c r="X4" s="4" t="s">
        <v>67</v>
      </c>
      <c r="Y4" s="4" t="s">
        <v>69</v>
      </c>
      <c r="Z4" s="4" t="s">
        <v>67</v>
      </c>
      <c r="AA4" s="4"/>
      <c r="AB4" s="4" t="s">
        <v>137</v>
      </c>
      <c r="AC4" s="4" t="s">
        <v>119</v>
      </c>
      <c r="AD4" s="4" t="s">
        <v>138</v>
      </c>
      <c r="AE4" s="4" t="s">
        <v>69</v>
      </c>
      <c r="AF4" s="4" t="s">
        <v>192</v>
      </c>
      <c r="AG4" s="4" t="s">
        <v>120</v>
      </c>
      <c r="AH4" s="4" t="s">
        <v>96</v>
      </c>
      <c r="AI4" s="4" t="s">
        <v>120</v>
      </c>
      <c r="AJ4" s="4" t="s">
        <v>139</v>
      </c>
      <c r="AK4" s="4" t="s">
        <v>140</v>
      </c>
      <c r="AL4" s="4" t="s">
        <v>141</v>
      </c>
      <c r="AM4" s="4"/>
      <c r="AN4" s="4"/>
      <c r="AO4" s="4"/>
      <c r="AP4" s="5" t="s">
        <v>223</v>
      </c>
    </row>
    <row r="5" spans="1:42" ht="13.5">
      <c r="A5" s="4" t="s">
        <v>199</v>
      </c>
      <c r="B5" s="3">
        <v>2433160</v>
      </c>
      <c r="C5" s="4" t="s">
        <v>149</v>
      </c>
      <c r="D5" s="4" t="s">
        <v>142</v>
      </c>
      <c r="E5" s="4" t="s">
        <v>135</v>
      </c>
      <c r="F5" s="4" t="s">
        <v>72</v>
      </c>
      <c r="G5" s="4" t="s">
        <v>74</v>
      </c>
      <c r="H5" s="4" t="s">
        <v>175</v>
      </c>
      <c r="I5" s="4"/>
      <c r="J5" s="4"/>
      <c r="K5" s="4" t="s">
        <v>197</v>
      </c>
      <c r="L5" s="4" t="s">
        <v>84</v>
      </c>
      <c r="M5" s="4" t="s">
        <v>197</v>
      </c>
      <c r="N5" s="4" t="s">
        <v>136</v>
      </c>
      <c r="O5" s="4" t="s">
        <v>67</v>
      </c>
      <c r="P5" s="4" t="s">
        <v>150</v>
      </c>
      <c r="Q5" s="4" t="s">
        <v>68</v>
      </c>
      <c r="R5" s="4"/>
      <c r="S5" s="4" t="s">
        <v>68</v>
      </c>
      <c r="T5" s="4" t="s">
        <v>69</v>
      </c>
      <c r="U5" s="4" t="s">
        <v>69</v>
      </c>
      <c r="V5" s="4" t="s">
        <v>69</v>
      </c>
      <c r="W5" s="4" t="s">
        <v>69</v>
      </c>
      <c r="X5" s="4" t="s">
        <v>67</v>
      </c>
      <c r="Y5" s="4" t="s">
        <v>67</v>
      </c>
      <c r="Z5" s="4" t="s">
        <v>69</v>
      </c>
      <c r="AA5" s="4"/>
      <c r="AB5" s="4" t="s">
        <v>147</v>
      </c>
      <c r="AC5" s="4" t="s">
        <v>85</v>
      </c>
      <c r="AD5" s="4" t="s">
        <v>138</v>
      </c>
      <c r="AE5" s="4" t="s">
        <v>69</v>
      </c>
      <c r="AF5" s="4" t="s">
        <v>151</v>
      </c>
      <c r="AG5" s="4" t="s">
        <v>83</v>
      </c>
      <c r="AH5" s="4"/>
      <c r="AI5" s="4" t="s">
        <v>83</v>
      </c>
      <c r="AJ5" s="4" t="s">
        <v>140</v>
      </c>
      <c r="AK5" s="4" t="s">
        <v>179</v>
      </c>
      <c r="AL5" s="4" t="s">
        <v>141</v>
      </c>
      <c r="AM5" s="4"/>
      <c r="AN5" s="4"/>
      <c r="AO5" s="4"/>
      <c r="AP5" s="5" t="s">
        <v>222</v>
      </c>
    </row>
    <row r="6" spans="1:42" ht="13.5">
      <c r="A6" s="4" t="s">
        <v>200</v>
      </c>
      <c r="B6" s="3">
        <v>2542251</v>
      </c>
      <c r="C6" s="4" t="s">
        <v>149</v>
      </c>
      <c r="D6" s="4" t="s">
        <v>142</v>
      </c>
      <c r="E6" s="4" t="s">
        <v>135</v>
      </c>
      <c r="F6" s="4" t="s">
        <v>72</v>
      </c>
      <c r="G6" s="4" t="s">
        <v>109</v>
      </c>
      <c r="H6" s="4" t="s">
        <v>175</v>
      </c>
      <c r="I6" s="4"/>
      <c r="J6" s="4"/>
      <c r="K6" s="4" t="s">
        <v>174</v>
      </c>
      <c r="L6" s="4" t="s">
        <v>102</v>
      </c>
      <c r="M6" s="4" t="s">
        <v>174</v>
      </c>
      <c r="N6" s="4" t="s">
        <v>136</v>
      </c>
      <c r="O6" s="4" t="s">
        <v>67</v>
      </c>
      <c r="P6" s="4" t="s">
        <v>150</v>
      </c>
      <c r="Q6" s="4" t="s">
        <v>68</v>
      </c>
      <c r="R6" s="4"/>
      <c r="S6" s="4" t="s">
        <v>68</v>
      </c>
      <c r="T6" s="4" t="s">
        <v>69</v>
      </c>
      <c r="U6" s="4" t="s">
        <v>69</v>
      </c>
      <c r="V6" s="4" t="s">
        <v>69</v>
      </c>
      <c r="W6" s="4" t="s">
        <v>69</v>
      </c>
      <c r="X6" s="4" t="s">
        <v>67</v>
      </c>
      <c r="Y6" s="4" t="s">
        <v>67</v>
      </c>
      <c r="Z6" s="4" t="s">
        <v>69</v>
      </c>
      <c r="AA6" s="4"/>
      <c r="AB6" s="4" t="s">
        <v>147</v>
      </c>
      <c r="AC6" s="4" t="s">
        <v>121</v>
      </c>
      <c r="AD6" s="4" t="s">
        <v>138</v>
      </c>
      <c r="AE6" s="4" t="s">
        <v>69</v>
      </c>
      <c r="AF6" s="4" t="s">
        <v>177</v>
      </c>
      <c r="AG6" s="4" t="s">
        <v>98</v>
      </c>
      <c r="AH6" s="4"/>
      <c r="AI6" s="4" t="s">
        <v>98</v>
      </c>
      <c r="AJ6" s="4" t="s">
        <v>140</v>
      </c>
      <c r="AK6" s="4" t="s">
        <v>178</v>
      </c>
      <c r="AL6" s="4" t="s">
        <v>141</v>
      </c>
      <c r="AM6" s="4"/>
      <c r="AN6" s="4"/>
      <c r="AO6" s="4"/>
      <c r="AP6" s="5" t="s">
        <v>222</v>
      </c>
    </row>
    <row r="7" spans="1:42" ht="13.5">
      <c r="A7" s="4" t="s">
        <v>201</v>
      </c>
      <c r="B7" s="3">
        <v>2331860</v>
      </c>
      <c r="C7" s="4" t="s">
        <v>149</v>
      </c>
      <c r="D7" s="4" t="s">
        <v>142</v>
      </c>
      <c r="E7" s="4" t="s">
        <v>135</v>
      </c>
      <c r="F7" s="4" t="s">
        <v>72</v>
      </c>
      <c r="G7" s="4" t="s">
        <v>101</v>
      </c>
      <c r="H7" s="4" t="s">
        <v>164</v>
      </c>
      <c r="I7" s="4"/>
      <c r="J7" s="4"/>
      <c r="K7" s="4" t="s">
        <v>171</v>
      </c>
      <c r="L7" s="4" t="s">
        <v>100</v>
      </c>
      <c r="M7" s="4" t="s">
        <v>171</v>
      </c>
      <c r="N7" s="4" t="s">
        <v>136</v>
      </c>
      <c r="O7" s="4" t="s">
        <v>67</v>
      </c>
      <c r="P7" s="4" t="s">
        <v>150</v>
      </c>
      <c r="Q7" s="4" t="s">
        <v>68</v>
      </c>
      <c r="R7" s="4"/>
      <c r="S7" s="4" t="s">
        <v>68</v>
      </c>
      <c r="T7" s="4" t="s">
        <v>69</v>
      </c>
      <c r="U7" s="4" t="s">
        <v>69</v>
      </c>
      <c r="V7" s="4" t="s">
        <v>69</v>
      </c>
      <c r="W7" s="4" t="s">
        <v>69</v>
      </c>
      <c r="X7" s="4" t="s">
        <v>67</v>
      </c>
      <c r="Y7" s="4" t="s">
        <v>67</v>
      </c>
      <c r="Z7" s="4" t="s">
        <v>69</v>
      </c>
      <c r="AA7" s="4"/>
      <c r="AB7" s="4" t="s">
        <v>147</v>
      </c>
      <c r="AC7" s="4" t="s">
        <v>122</v>
      </c>
      <c r="AD7" s="4" t="s">
        <v>138</v>
      </c>
      <c r="AE7" s="4" t="s">
        <v>69</v>
      </c>
      <c r="AF7" s="4" t="s">
        <v>151</v>
      </c>
      <c r="AG7" s="4" t="s">
        <v>112</v>
      </c>
      <c r="AH7" s="4"/>
      <c r="AI7" s="4" t="s">
        <v>112</v>
      </c>
      <c r="AJ7" s="4" t="s">
        <v>140</v>
      </c>
      <c r="AK7" s="4" t="s">
        <v>172</v>
      </c>
      <c r="AL7" s="4" t="s">
        <v>141</v>
      </c>
      <c r="AM7" s="4"/>
      <c r="AN7" s="4"/>
      <c r="AO7" s="4"/>
      <c r="AP7" s="5" t="s">
        <v>222</v>
      </c>
    </row>
    <row r="8" spans="1:42" ht="13.5">
      <c r="A8" s="4" t="s">
        <v>202</v>
      </c>
      <c r="B8" s="3">
        <v>2433519</v>
      </c>
      <c r="C8" s="4" t="s">
        <v>149</v>
      </c>
      <c r="D8" s="4" t="s">
        <v>142</v>
      </c>
      <c r="E8" s="4" t="s">
        <v>135</v>
      </c>
      <c r="F8" s="4" t="s">
        <v>72</v>
      </c>
      <c r="G8" s="4" t="s">
        <v>78</v>
      </c>
      <c r="H8" s="4" t="s">
        <v>185</v>
      </c>
      <c r="I8" s="4"/>
      <c r="J8" s="4"/>
      <c r="K8" s="4" t="s">
        <v>168</v>
      </c>
      <c r="L8" s="4" t="s">
        <v>77</v>
      </c>
      <c r="M8" s="4" t="s">
        <v>168</v>
      </c>
      <c r="N8" s="4" t="s">
        <v>136</v>
      </c>
      <c r="O8" s="4" t="s">
        <v>67</v>
      </c>
      <c r="P8" s="4" t="s">
        <v>150</v>
      </c>
      <c r="Q8" s="4" t="s">
        <v>68</v>
      </c>
      <c r="R8" s="4"/>
      <c r="S8" s="4" t="s">
        <v>68</v>
      </c>
      <c r="T8" s="4" t="s">
        <v>69</v>
      </c>
      <c r="U8" s="4" t="s">
        <v>69</v>
      </c>
      <c r="V8" s="4" t="s">
        <v>69</v>
      </c>
      <c r="W8" s="4" t="s">
        <v>69</v>
      </c>
      <c r="X8" s="4" t="s">
        <v>67</v>
      </c>
      <c r="Y8" s="4" t="s">
        <v>67</v>
      </c>
      <c r="Z8" s="4" t="s">
        <v>69</v>
      </c>
      <c r="AA8" s="4"/>
      <c r="AB8" s="4" t="s">
        <v>147</v>
      </c>
      <c r="AC8" s="4" t="s">
        <v>86</v>
      </c>
      <c r="AD8" s="4" t="s">
        <v>138</v>
      </c>
      <c r="AE8" s="4" t="s">
        <v>69</v>
      </c>
      <c r="AF8" s="4" t="s">
        <v>151</v>
      </c>
      <c r="AG8" s="4" t="s">
        <v>82</v>
      </c>
      <c r="AH8" s="4"/>
      <c r="AI8" s="4" t="s">
        <v>82</v>
      </c>
      <c r="AJ8" s="4" t="s">
        <v>140</v>
      </c>
      <c r="AK8" s="4" t="s">
        <v>152</v>
      </c>
      <c r="AL8" s="4" t="s">
        <v>141</v>
      </c>
      <c r="AM8" s="4"/>
      <c r="AN8" s="4"/>
      <c r="AO8" s="4"/>
      <c r="AP8" s="5" t="s">
        <v>222</v>
      </c>
    </row>
    <row r="9" spans="1:42" ht="13.5">
      <c r="A9" s="4" t="s">
        <v>203</v>
      </c>
      <c r="B9" s="3">
        <v>1930671</v>
      </c>
      <c r="C9" s="4" t="s">
        <v>149</v>
      </c>
      <c r="D9" s="4" t="s">
        <v>142</v>
      </c>
      <c r="E9" s="4" t="s">
        <v>135</v>
      </c>
      <c r="F9" s="4" t="s">
        <v>72</v>
      </c>
      <c r="G9" s="4" t="s">
        <v>74</v>
      </c>
      <c r="H9" s="4" t="s">
        <v>164</v>
      </c>
      <c r="I9" s="4"/>
      <c r="J9" s="4"/>
      <c r="K9" s="4" t="s">
        <v>148</v>
      </c>
      <c r="L9" s="4" t="s">
        <v>95</v>
      </c>
      <c r="M9" s="4" t="s">
        <v>148</v>
      </c>
      <c r="N9" s="4" t="s">
        <v>136</v>
      </c>
      <c r="O9" s="4" t="s">
        <v>67</v>
      </c>
      <c r="P9" s="4" t="s">
        <v>150</v>
      </c>
      <c r="Q9" s="4" t="s">
        <v>68</v>
      </c>
      <c r="R9" s="4"/>
      <c r="S9" s="4" t="s">
        <v>68</v>
      </c>
      <c r="T9" s="4" t="s">
        <v>69</v>
      </c>
      <c r="U9" s="4" t="s">
        <v>69</v>
      </c>
      <c r="V9" s="4" t="s">
        <v>69</v>
      </c>
      <c r="W9" s="4" t="s">
        <v>69</v>
      </c>
      <c r="X9" s="4" t="s">
        <v>67</v>
      </c>
      <c r="Y9" s="4" t="s">
        <v>69</v>
      </c>
      <c r="Z9" s="4" t="s">
        <v>69</v>
      </c>
      <c r="AA9" s="4"/>
      <c r="AB9" s="4"/>
      <c r="AC9" s="4" t="s">
        <v>123</v>
      </c>
      <c r="AD9" s="4" t="s">
        <v>138</v>
      </c>
      <c r="AE9" s="4" t="s">
        <v>69</v>
      </c>
      <c r="AF9" s="4" t="s">
        <v>165</v>
      </c>
      <c r="AG9" s="4" t="s">
        <v>75</v>
      </c>
      <c r="AH9" s="4"/>
      <c r="AI9" s="4" t="s">
        <v>75</v>
      </c>
      <c r="AJ9" s="4" t="s">
        <v>161</v>
      </c>
      <c r="AK9" s="4" t="s">
        <v>154</v>
      </c>
      <c r="AL9" s="4" t="s">
        <v>141</v>
      </c>
      <c r="AM9" s="4"/>
      <c r="AN9" s="4"/>
      <c r="AO9" s="4"/>
      <c r="AP9" s="5" t="s">
        <v>223</v>
      </c>
    </row>
    <row r="10" spans="1:42" ht="13.5">
      <c r="A10" s="4" t="s">
        <v>205</v>
      </c>
      <c r="B10" s="3">
        <v>1930664</v>
      </c>
      <c r="C10" s="4" t="s">
        <v>149</v>
      </c>
      <c r="D10" s="4" t="s">
        <v>142</v>
      </c>
      <c r="E10" s="4" t="s">
        <v>135</v>
      </c>
      <c r="F10" s="4" t="s">
        <v>72</v>
      </c>
      <c r="G10" s="4" t="s">
        <v>74</v>
      </c>
      <c r="H10" s="4" t="s">
        <v>153</v>
      </c>
      <c r="I10" s="4"/>
      <c r="J10" s="4"/>
      <c r="K10" s="4" t="s">
        <v>183</v>
      </c>
      <c r="L10" s="4" t="s">
        <v>108</v>
      </c>
      <c r="M10" s="4" t="s">
        <v>183</v>
      </c>
      <c r="N10" s="4" t="s">
        <v>136</v>
      </c>
      <c r="O10" s="4" t="s">
        <v>67</v>
      </c>
      <c r="P10" s="4" t="s">
        <v>150</v>
      </c>
      <c r="Q10" s="4" t="s">
        <v>68</v>
      </c>
      <c r="R10" s="4"/>
      <c r="S10" s="4"/>
      <c r="T10" s="4" t="s">
        <v>69</v>
      </c>
      <c r="U10" s="4" t="s">
        <v>69</v>
      </c>
      <c r="V10" s="4" t="s">
        <v>69</v>
      </c>
      <c r="W10" s="4" t="s">
        <v>69</v>
      </c>
      <c r="X10" s="4" t="s">
        <v>67</v>
      </c>
      <c r="Y10" s="4" t="s">
        <v>69</v>
      </c>
      <c r="Z10" s="4" t="s">
        <v>69</v>
      </c>
      <c r="AA10" s="4"/>
      <c r="AB10" s="4"/>
      <c r="AC10" s="4" t="s">
        <v>125</v>
      </c>
      <c r="AD10" s="4" t="s">
        <v>138</v>
      </c>
      <c r="AE10" s="4" t="s">
        <v>69</v>
      </c>
      <c r="AF10" s="4" t="s">
        <v>165</v>
      </c>
      <c r="AG10" s="4" t="s">
        <v>75</v>
      </c>
      <c r="AH10" s="4"/>
      <c r="AI10" s="4" t="s">
        <v>75</v>
      </c>
      <c r="AJ10" s="4" t="s">
        <v>160</v>
      </c>
      <c r="AK10" s="4" t="s">
        <v>170</v>
      </c>
      <c r="AL10" s="4" t="s">
        <v>141</v>
      </c>
      <c r="AM10" s="4"/>
      <c r="AN10" s="4"/>
      <c r="AO10" s="4"/>
      <c r="AP10" s="5" t="s">
        <v>223</v>
      </c>
    </row>
    <row r="11" spans="1:42" ht="13.5">
      <c r="A11" s="4" t="s">
        <v>206</v>
      </c>
      <c r="B11" s="3">
        <v>2433122</v>
      </c>
      <c r="C11" s="4" t="s">
        <v>149</v>
      </c>
      <c r="D11" s="4" t="s">
        <v>142</v>
      </c>
      <c r="E11" s="4" t="s">
        <v>135</v>
      </c>
      <c r="F11" s="4" t="s">
        <v>72</v>
      </c>
      <c r="G11" s="4" t="s">
        <v>74</v>
      </c>
      <c r="H11" s="4" t="s">
        <v>164</v>
      </c>
      <c r="I11" s="4"/>
      <c r="J11" s="4"/>
      <c r="K11" s="4" t="s">
        <v>191</v>
      </c>
      <c r="L11" s="4" t="s">
        <v>93</v>
      </c>
      <c r="M11" s="4" t="s">
        <v>191</v>
      </c>
      <c r="N11" s="4" t="s">
        <v>136</v>
      </c>
      <c r="O11" s="4" t="s">
        <v>67</v>
      </c>
      <c r="P11" s="4" t="s">
        <v>150</v>
      </c>
      <c r="Q11" s="4" t="s">
        <v>68</v>
      </c>
      <c r="R11" s="4"/>
      <c r="S11" s="4" t="s">
        <v>68</v>
      </c>
      <c r="T11" s="4" t="s">
        <v>69</v>
      </c>
      <c r="U11" s="4" t="s">
        <v>69</v>
      </c>
      <c r="V11" s="4" t="s">
        <v>69</v>
      </c>
      <c r="W11" s="4" t="s">
        <v>69</v>
      </c>
      <c r="X11" s="4" t="s">
        <v>67</v>
      </c>
      <c r="Y11" s="4" t="s">
        <v>67</v>
      </c>
      <c r="Z11" s="4" t="s">
        <v>69</v>
      </c>
      <c r="AA11" s="4"/>
      <c r="AB11" s="4" t="s">
        <v>147</v>
      </c>
      <c r="AC11" s="4" t="s">
        <v>126</v>
      </c>
      <c r="AD11" s="4" t="s">
        <v>138</v>
      </c>
      <c r="AE11" s="4" t="s">
        <v>69</v>
      </c>
      <c r="AF11" s="4" t="s">
        <v>157</v>
      </c>
      <c r="AG11" s="4" t="s">
        <v>116</v>
      </c>
      <c r="AH11" s="4"/>
      <c r="AI11" s="4" t="s">
        <v>116</v>
      </c>
      <c r="AJ11" s="4" t="s">
        <v>140</v>
      </c>
      <c r="AK11" s="4" t="s">
        <v>167</v>
      </c>
      <c r="AL11" s="4" t="s">
        <v>141</v>
      </c>
      <c r="AM11" s="4"/>
      <c r="AN11" s="4"/>
      <c r="AO11" s="4"/>
      <c r="AP11" s="5" t="s">
        <v>223</v>
      </c>
    </row>
    <row r="12" spans="1:42" ht="13.5">
      <c r="A12" s="4" t="s">
        <v>208</v>
      </c>
      <c r="B12" s="3">
        <v>2336627</v>
      </c>
      <c r="C12" s="4" t="s">
        <v>149</v>
      </c>
      <c r="D12" s="4" t="s">
        <v>142</v>
      </c>
      <c r="E12" s="4" t="s">
        <v>135</v>
      </c>
      <c r="F12" s="4" t="s">
        <v>72</v>
      </c>
      <c r="G12" s="4" t="s">
        <v>74</v>
      </c>
      <c r="H12" s="4" t="s">
        <v>185</v>
      </c>
      <c r="I12" s="4"/>
      <c r="J12" s="4"/>
      <c r="K12" s="4" t="s">
        <v>145</v>
      </c>
      <c r="L12" s="4" t="s">
        <v>91</v>
      </c>
      <c r="M12" s="4" t="s">
        <v>145</v>
      </c>
      <c r="N12" s="4" t="s">
        <v>136</v>
      </c>
      <c r="O12" s="4" t="s">
        <v>67</v>
      </c>
      <c r="P12" s="4" t="s">
        <v>150</v>
      </c>
      <c r="Q12" s="4" t="s">
        <v>68</v>
      </c>
      <c r="R12" s="4"/>
      <c r="S12" s="4" t="s">
        <v>68</v>
      </c>
      <c r="T12" s="4" t="s">
        <v>69</v>
      </c>
      <c r="U12" s="4" t="s">
        <v>69</v>
      </c>
      <c r="V12" s="4" t="s">
        <v>69</v>
      </c>
      <c r="W12" s="4" t="s">
        <v>67</v>
      </c>
      <c r="X12" s="4" t="s">
        <v>67</v>
      </c>
      <c r="Y12" s="4" t="s">
        <v>67</v>
      </c>
      <c r="Z12" s="4" t="s">
        <v>69</v>
      </c>
      <c r="AA12" s="4"/>
      <c r="AB12" s="4" t="s">
        <v>137</v>
      </c>
      <c r="AC12" s="4" t="s">
        <v>127</v>
      </c>
      <c r="AD12" s="4" t="s">
        <v>138</v>
      </c>
      <c r="AE12" s="4" t="s">
        <v>69</v>
      </c>
      <c r="AF12" s="4" t="s">
        <v>193</v>
      </c>
      <c r="AG12" s="4" t="s">
        <v>118</v>
      </c>
      <c r="AH12" s="4"/>
      <c r="AI12" s="4" t="s">
        <v>118</v>
      </c>
      <c r="AJ12" s="4" t="s">
        <v>140</v>
      </c>
      <c r="AK12" s="4" t="s">
        <v>166</v>
      </c>
      <c r="AL12" s="4" t="s">
        <v>141</v>
      </c>
      <c r="AM12" s="4"/>
      <c r="AN12" s="4"/>
      <c r="AO12" s="4"/>
      <c r="AP12" s="5" t="s">
        <v>222</v>
      </c>
    </row>
    <row r="13" spans="1:42" ht="13.5">
      <c r="A13" s="4" t="s">
        <v>209</v>
      </c>
      <c r="B13" s="3">
        <v>2436160</v>
      </c>
      <c r="C13" s="4" t="s">
        <v>149</v>
      </c>
      <c r="D13" s="4" t="s">
        <v>142</v>
      </c>
      <c r="E13" s="4" t="s">
        <v>135</v>
      </c>
      <c r="F13" s="4" t="s">
        <v>72</v>
      </c>
      <c r="G13" s="4" t="s">
        <v>74</v>
      </c>
      <c r="H13" s="4" t="s">
        <v>175</v>
      </c>
      <c r="I13" s="4"/>
      <c r="J13" s="4"/>
      <c r="K13" s="4" t="s">
        <v>162</v>
      </c>
      <c r="L13" s="4" t="s">
        <v>73</v>
      </c>
      <c r="M13" s="4" t="s">
        <v>162</v>
      </c>
      <c r="N13" s="4" t="s">
        <v>136</v>
      </c>
      <c r="O13" s="4" t="s">
        <v>67</v>
      </c>
      <c r="P13" s="4" t="s">
        <v>150</v>
      </c>
      <c r="Q13" s="4" t="s">
        <v>68</v>
      </c>
      <c r="R13" s="4"/>
      <c r="S13" s="4" t="s">
        <v>68</v>
      </c>
      <c r="T13" s="4" t="s">
        <v>69</v>
      </c>
      <c r="U13" s="4" t="s">
        <v>69</v>
      </c>
      <c r="V13" s="4" t="s">
        <v>69</v>
      </c>
      <c r="W13" s="4" t="s">
        <v>69</v>
      </c>
      <c r="X13" s="4" t="s">
        <v>67</v>
      </c>
      <c r="Y13" s="4" t="s">
        <v>67</v>
      </c>
      <c r="Z13" s="4" t="s">
        <v>69</v>
      </c>
      <c r="AA13" s="4"/>
      <c r="AB13" s="4" t="s">
        <v>147</v>
      </c>
      <c r="AC13" s="4" t="s">
        <v>87</v>
      </c>
      <c r="AD13" s="4" t="s">
        <v>138</v>
      </c>
      <c r="AE13" s="4" t="s">
        <v>69</v>
      </c>
      <c r="AF13" s="4" t="s">
        <v>151</v>
      </c>
      <c r="AG13" s="4" t="s">
        <v>79</v>
      </c>
      <c r="AH13" s="4"/>
      <c r="AI13" s="4" t="s">
        <v>79</v>
      </c>
      <c r="AJ13" s="4" t="s">
        <v>140</v>
      </c>
      <c r="AK13" s="4" t="s">
        <v>170</v>
      </c>
      <c r="AL13" s="4" t="s">
        <v>141</v>
      </c>
      <c r="AM13" s="4"/>
      <c r="AN13" s="4"/>
      <c r="AO13" s="4"/>
      <c r="AP13" s="5" t="s">
        <v>222</v>
      </c>
    </row>
    <row r="14" spans="1:42" ht="13.5">
      <c r="A14" s="4" t="s">
        <v>210</v>
      </c>
      <c r="B14" s="3">
        <v>2230184</v>
      </c>
      <c r="C14" s="4" t="s">
        <v>149</v>
      </c>
      <c r="D14" s="4" t="s">
        <v>142</v>
      </c>
      <c r="E14" s="4" t="s">
        <v>135</v>
      </c>
      <c r="F14" s="4" t="s">
        <v>72</v>
      </c>
      <c r="G14" s="4" t="s">
        <v>74</v>
      </c>
      <c r="H14" s="4" t="s">
        <v>164</v>
      </c>
      <c r="I14" s="4"/>
      <c r="J14" s="4"/>
      <c r="K14" s="4" t="s">
        <v>159</v>
      </c>
      <c r="L14" s="4" t="s">
        <v>97</v>
      </c>
      <c r="M14" s="4" t="s">
        <v>159</v>
      </c>
      <c r="N14" s="4" t="s">
        <v>136</v>
      </c>
      <c r="O14" s="4" t="s">
        <v>67</v>
      </c>
      <c r="P14" s="4" t="s">
        <v>150</v>
      </c>
      <c r="Q14" s="4" t="s">
        <v>68</v>
      </c>
      <c r="R14" s="4"/>
      <c r="S14" s="4" t="s">
        <v>68</v>
      </c>
      <c r="T14" s="4" t="s">
        <v>69</v>
      </c>
      <c r="U14" s="4" t="s">
        <v>69</v>
      </c>
      <c r="V14" s="4" t="s">
        <v>69</v>
      </c>
      <c r="W14" s="4" t="s">
        <v>69</v>
      </c>
      <c r="X14" s="4" t="s">
        <v>67</v>
      </c>
      <c r="Y14" s="4" t="s">
        <v>67</v>
      </c>
      <c r="Z14" s="4" t="s">
        <v>69</v>
      </c>
      <c r="AA14" s="4"/>
      <c r="AB14" s="4" t="s">
        <v>137</v>
      </c>
      <c r="AC14" s="4" t="s">
        <v>128</v>
      </c>
      <c r="AD14" s="4" t="s">
        <v>138</v>
      </c>
      <c r="AE14" s="4" t="s">
        <v>69</v>
      </c>
      <c r="AF14" s="4" t="s">
        <v>151</v>
      </c>
      <c r="AG14" s="4" t="s">
        <v>113</v>
      </c>
      <c r="AH14" s="4"/>
      <c r="AI14" s="4" t="s">
        <v>113</v>
      </c>
      <c r="AJ14" s="4" t="s">
        <v>211</v>
      </c>
      <c r="AK14" s="4" t="s">
        <v>170</v>
      </c>
      <c r="AL14" s="4" t="s">
        <v>141</v>
      </c>
      <c r="AM14" s="4"/>
      <c r="AN14" s="4"/>
      <c r="AO14" s="4"/>
      <c r="AP14" s="5" t="s">
        <v>223</v>
      </c>
    </row>
    <row r="15" spans="1:42" ht="13.5">
      <c r="A15" s="4" t="s">
        <v>213</v>
      </c>
      <c r="B15" s="3">
        <v>2230129</v>
      </c>
      <c r="C15" s="4" t="s">
        <v>149</v>
      </c>
      <c r="D15" s="4" t="s">
        <v>142</v>
      </c>
      <c r="E15" s="4" t="s">
        <v>135</v>
      </c>
      <c r="F15" s="4" t="s">
        <v>72</v>
      </c>
      <c r="G15" s="4" t="s">
        <v>74</v>
      </c>
      <c r="H15" s="4" t="s">
        <v>185</v>
      </c>
      <c r="I15" s="4"/>
      <c r="J15" s="4"/>
      <c r="K15" s="4" t="s">
        <v>182</v>
      </c>
      <c r="L15" s="4" t="s">
        <v>106</v>
      </c>
      <c r="M15" s="4" t="s">
        <v>182</v>
      </c>
      <c r="N15" s="4" t="s">
        <v>136</v>
      </c>
      <c r="O15" s="4" t="s">
        <v>67</v>
      </c>
      <c r="P15" s="4" t="s">
        <v>150</v>
      </c>
      <c r="Q15" s="4" t="s">
        <v>68</v>
      </c>
      <c r="R15" s="4"/>
      <c r="S15" s="4" t="s">
        <v>68</v>
      </c>
      <c r="T15" s="4" t="s">
        <v>69</v>
      </c>
      <c r="U15" s="4" t="s">
        <v>69</v>
      </c>
      <c r="V15" s="4" t="s">
        <v>69</v>
      </c>
      <c r="W15" s="4" t="s">
        <v>69</v>
      </c>
      <c r="X15" s="4" t="s">
        <v>67</v>
      </c>
      <c r="Y15" s="4" t="s">
        <v>67</v>
      </c>
      <c r="Z15" s="4" t="s">
        <v>69</v>
      </c>
      <c r="AA15" s="4"/>
      <c r="AB15" s="4" t="s">
        <v>147</v>
      </c>
      <c r="AC15" s="4" t="s">
        <v>129</v>
      </c>
      <c r="AD15" s="4" t="s">
        <v>138</v>
      </c>
      <c r="AE15" s="4" t="s">
        <v>69</v>
      </c>
      <c r="AF15" s="4" t="s">
        <v>212</v>
      </c>
      <c r="AG15" s="4" t="s">
        <v>130</v>
      </c>
      <c r="AH15" s="4"/>
      <c r="AI15" s="4" t="s">
        <v>130</v>
      </c>
      <c r="AJ15" s="4" t="s">
        <v>195</v>
      </c>
      <c r="AK15" s="4" t="s">
        <v>179</v>
      </c>
      <c r="AL15" s="4" t="s">
        <v>141</v>
      </c>
      <c r="AM15" s="4"/>
      <c r="AN15" s="4"/>
      <c r="AO15" s="4"/>
      <c r="AP15" s="5" t="s">
        <v>223</v>
      </c>
    </row>
    <row r="16" spans="1:42" ht="13.5">
      <c r="A16" s="4" t="s">
        <v>214</v>
      </c>
      <c r="B16" s="3">
        <v>2537515</v>
      </c>
      <c r="C16" s="4" t="s">
        <v>149</v>
      </c>
      <c r="D16" s="4" t="s">
        <v>142</v>
      </c>
      <c r="E16" s="4" t="s">
        <v>135</v>
      </c>
      <c r="F16" s="4" t="s">
        <v>72</v>
      </c>
      <c r="G16" s="4" t="s">
        <v>109</v>
      </c>
      <c r="H16" s="4" t="s">
        <v>153</v>
      </c>
      <c r="I16" s="4"/>
      <c r="J16" s="4"/>
      <c r="K16" s="4" t="s">
        <v>194</v>
      </c>
      <c r="L16" s="4" t="s">
        <v>117</v>
      </c>
      <c r="M16" s="4" t="s">
        <v>194</v>
      </c>
      <c r="N16" s="4" t="s">
        <v>136</v>
      </c>
      <c r="O16" s="4" t="s">
        <v>67</v>
      </c>
      <c r="P16" s="4" t="s">
        <v>150</v>
      </c>
      <c r="Q16" s="4" t="s">
        <v>68</v>
      </c>
      <c r="R16" s="4"/>
      <c r="S16" s="4" t="s">
        <v>68</v>
      </c>
      <c r="T16" s="4" t="s">
        <v>69</v>
      </c>
      <c r="U16" s="4" t="s">
        <v>69</v>
      </c>
      <c r="V16" s="4" t="s">
        <v>69</v>
      </c>
      <c r="W16" s="4" t="s">
        <v>69</v>
      </c>
      <c r="X16" s="4" t="s">
        <v>67</v>
      </c>
      <c r="Y16" s="4" t="s">
        <v>67</v>
      </c>
      <c r="Z16" s="4" t="s">
        <v>69</v>
      </c>
      <c r="AA16" s="4"/>
      <c r="AB16" s="4" t="s">
        <v>147</v>
      </c>
      <c r="AC16" s="4" t="s">
        <v>131</v>
      </c>
      <c r="AD16" s="4" t="s">
        <v>138</v>
      </c>
      <c r="AE16" s="4" t="s">
        <v>69</v>
      </c>
      <c r="AF16" s="4" t="s">
        <v>169</v>
      </c>
      <c r="AG16" s="4" t="s">
        <v>110</v>
      </c>
      <c r="AH16" s="4"/>
      <c r="AI16" s="4" t="s">
        <v>110</v>
      </c>
      <c r="AJ16" s="4" t="s">
        <v>140</v>
      </c>
      <c r="AK16" s="4" t="s">
        <v>215</v>
      </c>
      <c r="AL16" s="4" t="s">
        <v>141</v>
      </c>
      <c r="AM16" s="4"/>
      <c r="AN16" s="4"/>
      <c r="AO16" s="4"/>
      <c r="AP16" s="5" t="s">
        <v>223</v>
      </c>
    </row>
    <row r="17" spans="1:42" ht="13.5">
      <c r="A17" s="4" t="s">
        <v>216</v>
      </c>
      <c r="B17" s="3">
        <v>1930651</v>
      </c>
      <c r="C17" s="4" t="s">
        <v>149</v>
      </c>
      <c r="D17" s="4" t="s">
        <v>142</v>
      </c>
      <c r="E17" s="4" t="s">
        <v>135</v>
      </c>
      <c r="F17" s="4" t="s">
        <v>72</v>
      </c>
      <c r="G17" s="4" t="s">
        <v>74</v>
      </c>
      <c r="H17" s="4" t="s">
        <v>207</v>
      </c>
      <c r="I17" s="4"/>
      <c r="J17" s="4"/>
      <c r="K17" s="4" t="s">
        <v>188</v>
      </c>
      <c r="L17" s="4" t="s">
        <v>81</v>
      </c>
      <c r="M17" s="4" t="s">
        <v>188</v>
      </c>
      <c r="N17" s="4" t="s">
        <v>136</v>
      </c>
      <c r="O17" s="4" t="s">
        <v>67</v>
      </c>
      <c r="P17" s="4" t="s">
        <v>150</v>
      </c>
      <c r="Q17" s="4" t="s">
        <v>68</v>
      </c>
      <c r="R17" s="4"/>
      <c r="S17" s="4" t="s">
        <v>68</v>
      </c>
      <c r="T17" s="4" t="s">
        <v>69</v>
      </c>
      <c r="U17" s="4" t="s">
        <v>69</v>
      </c>
      <c r="V17" s="4" t="s">
        <v>69</v>
      </c>
      <c r="W17" s="4" t="s">
        <v>69</v>
      </c>
      <c r="X17" s="4" t="s">
        <v>67</v>
      </c>
      <c r="Y17" s="4" t="s">
        <v>69</v>
      </c>
      <c r="Z17" s="4" t="s">
        <v>69</v>
      </c>
      <c r="AA17" s="4"/>
      <c r="AB17" s="4"/>
      <c r="AC17" s="4" t="s">
        <v>88</v>
      </c>
      <c r="AD17" s="4" t="s">
        <v>138</v>
      </c>
      <c r="AE17" s="4" t="s">
        <v>69</v>
      </c>
      <c r="AF17" s="4" t="s">
        <v>165</v>
      </c>
      <c r="AG17" s="4" t="s">
        <v>75</v>
      </c>
      <c r="AH17" s="4"/>
      <c r="AI17" s="4" t="s">
        <v>75</v>
      </c>
      <c r="AJ17" s="4" t="s">
        <v>190</v>
      </c>
      <c r="AK17" s="4" t="s">
        <v>166</v>
      </c>
      <c r="AL17" s="4" t="s">
        <v>141</v>
      </c>
      <c r="AM17" s="4"/>
      <c r="AN17" s="4"/>
      <c r="AO17" s="4"/>
      <c r="AP17" s="5" t="s">
        <v>222</v>
      </c>
    </row>
    <row r="18" spans="1:42" ht="13.5">
      <c r="A18" s="4" t="s">
        <v>217</v>
      </c>
      <c r="B18" s="3">
        <v>2230830</v>
      </c>
      <c r="C18" s="4" t="s">
        <v>149</v>
      </c>
      <c r="D18" s="4" t="s">
        <v>142</v>
      </c>
      <c r="E18" s="4" t="s">
        <v>135</v>
      </c>
      <c r="F18" s="4" t="s">
        <v>72</v>
      </c>
      <c r="G18" s="4" t="s">
        <v>78</v>
      </c>
      <c r="H18" s="4" t="s">
        <v>175</v>
      </c>
      <c r="I18" s="4"/>
      <c r="J18" s="4"/>
      <c r="K18" s="4" t="s">
        <v>144</v>
      </c>
      <c r="L18" s="4" t="s">
        <v>71</v>
      </c>
      <c r="M18" s="4" t="s">
        <v>144</v>
      </c>
      <c r="N18" s="4" t="s">
        <v>136</v>
      </c>
      <c r="O18" s="4" t="s">
        <v>67</v>
      </c>
      <c r="P18" s="4" t="s">
        <v>150</v>
      </c>
      <c r="Q18" s="4" t="s">
        <v>68</v>
      </c>
      <c r="R18" s="4"/>
      <c r="S18" s="4" t="s">
        <v>68</v>
      </c>
      <c r="T18" s="4" t="s">
        <v>69</v>
      </c>
      <c r="U18" s="4" t="s">
        <v>69</v>
      </c>
      <c r="V18" s="4" t="s">
        <v>69</v>
      </c>
      <c r="W18" s="4" t="s">
        <v>69</v>
      </c>
      <c r="X18" s="4" t="s">
        <v>67</v>
      </c>
      <c r="Y18" s="4" t="s">
        <v>67</v>
      </c>
      <c r="Z18" s="4" t="s">
        <v>69</v>
      </c>
      <c r="AA18" s="4"/>
      <c r="AB18" s="4" t="s">
        <v>147</v>
      </c>
      <c r="AC18" s="4" t="s">
        <v>89</v>
      </c>
      <c r="AD18" s="4" t="s">
        <v>138</v>
      </c>
      <c r="AE18" s="4" t="s">
        <v>69</v>
      </c>
      <c r="AF18" s="4" t="s">
        <v>151</v>
      </c>
      <c r="AG18" s="4" t="s">
        <v>76</v>
      </c>
      <c r="AH18" s="4"/>
      <c r="AI18" s="4" t="s">
        <v>76</v>
      </c>
      <c r="AJ18" s="4" t="s">
        <v>196</v>
      </c>
      <c r="AK18" s="4" t="s">
        <v>155</v>
      </c>
      <c r="AL18" s="4" t="s">
        <v>141</v>
      </c>
      <c r="AM18" s="4"/>
      <c r="AN18" s="4"/>
      <c r="AO18" s="4"/>
      <c r="AP18" s="5" t="s">
        <v>223</v>
      </c>
    </row>
    <row r="19" spans="1:42" ht="13.5">
      <c r="A19" s="4" t="s">
        <v>218</v>
      </c>
      <c r="B19" s="3">
        <v>2435454</v>
      </c>
      <c r="C19" s="4" t="s">
        <v>149</v>
      </c>
      <c r="D19" s="4" t="s">
        <v>142</v>
      </c>
      <c r="E19" s="4" t="s">
        <v>135</v>
      </c>
      <c r="F19" s="4" t="s">
        <v>72</v>
      </c>
      <c r="G19" s="4" t="s">
        <v>109</v>
      </c>
      <c r="H19" s="4" t="s">
        <v>164</v>
      </c>
      <c r="I19" s="4"/>
      <c r="J19" s="4"/>
      <c r="K19" s="4" t="s">
        <v>189</v>
      </c>
      <c r="L19" s="4" t="s">
        <v>114</v>
      </c>
      <c r="M19" s="4" t="s">
        <v>189</v>
      </c>
      <c r="N19" s="4" t="s">
        <v>136</v>
      </c>
      <c r="O19" s="4" t="s">
        <v>67</v>
      </c>
      <c r="P19" s="4" t="s">
        <v>150</v>
      </c>
      <c r="Q19" s="4" t="s">
        <v>68</v>
      </c>
      <c r="R19" s="4"/>
      <c r="S19" s="4" t="s">
        <v>68</v>
      </c>
      <c r="T19" s="4" t="s">
        <v>69</v>
      </c>
      <c r="U19" s="4" t="s">
        <v>69</v>
      </c>
      <c r="V19" s="4" t="s">
        <v>69</v>
      </c>
      <c r="W19" s="4" t="s">
        <v>69</v>
      </c>
      <c r="X19" s="4" t="s">
        <v>67</v>
      </c>
      <c r="Y19" s="4" t="s">
        <v>67</v>
      </c>
      <c r="Z19" s="4" t="s">
        <v>69</v>
      </c>
      <c r="AA19" s="4"/>
      <c r="AB19" s="4" t="s">
        <v>147</v>
      </c>
      <c r="AC19" s="4" t="s">
        <v>132</v>
      </c>
      <c r="AD19" s="4" t="s">
        <v>138</v>
      </c>
      <c r="AE19" s="4" t="s">
        <v>69</v>
      </c>
      <c r="AF19" s="4" t="s">
        <v>151</v>
      </c>
      <c r="AG19" s="4" t="s">
        <v>124</v>
      </c>
      <c r="AH19" s="4"/>
      <c r="AI19" s="4" t="s">
        <v>124</v>
      </c>
      <c r="AJ19" s="4" t="s">
        <v>140</v>
      </c>
      <c r="AK19" s="4" t="s">
        <v>158</v>
      </c>
      <c r="AL19" s="4" t="s">
        <v>141</v>
      </c>
      <c r="AM19" s="4"/>
      <c r="AN19" s="4"/>
      <c r="AO19" s="4"/>
      <c r="AP19" s="5" t="s">
        <v>223</v>
      </c>
    </row>
    <row r="20" spans="1:42" ht="13.5">
      <c r="A20" s="4" t="s">
        <v>219</v>
      </c>
      <c r="B20" s="3">
        <v>2535421</v>
      </c>
      <c r="C20" s="4" t="s">
        <v>149</v>
      </c>
      <c r="D20" s="4" t="s">
        <v>142</v>
      </c>
      <c r="E20" s="4" t="s">
        <v>135</v>
      </c>
      <c r="F20" s="4" t="s">
        <v>72</v>
      </c>
      <c r="G20" s="4" t="s">
        <v>78</v>
      </c>
      <c r="H20" s="4" t="s">
        <v>175</v>
      </c>
      <c r="I20" s="4"/>
      <c r="J20" s="4"/>
      <c r="K20" s="4" t="s">
        <v>176</v>
      </c>
      <c r="L20" s="4" t="s">
        <v>103</v>
      </c>
      <c r="M20" s="4" t="s">
        <v>176</v>
      </c>
      <c r="N20" s="4" t="s">
        <v>136</v>
      </c>
      <c r="O20" s="4" t="s">
        <v>67</v>
      </c>
      <c r="P20" s="4" t="s">
        <v>150</v>
      </c>
      <c r="Q20" s="4" t="s">
        <v>68</v>
      </c>
      <c r="R20" s="4"/>
      <c r="S20" s="4" t="s">
        <v>68</v>
      </c>
      <c r="T20" s="4" t="s">
        <v>69</v>
      </c>
      <c r="U20" s="4" t="s">
        <v>69</v>
      </c>
      <c r="V20" s="4" t="s">
        <v>69</v>
      </c>
      <c r="W20" s="4" t="s">
        <v>69</v>
      </c>
      <c r="X20" s="4" t="s">
        <v>67</v>
      </c>
      <c r="Y20" s="4" t="s">
        <v>67</v>
      </c>
      <c r="Z20" s="4" t="s">
        <v>69</v>
      </c>
      <c r="AA20" s="4"/>
      <c r="AB20" s="4" t="s">
        <v>147</v>
      </c>
      <c r="AC20" s="4" t="s">
        <v>133</v>
      </c>
      <c r="AD20" s="4" t="s">
        <v>138</v>
      </c>
      <c r="AE20" s="4" t="s">
        <v>69</v>
      </c>
      <c r="AF20" s="4" t="s">
        <v>173</v>
      </c>
      <c r="AG20" s="4" t="s">
        <v>104</v>
      </c>
      <c r="AH20" s="4"/>
      <c r="AI20" s="4" t="s">
        <v>104</v>
      </c>
      <c r="AJ20" s="4" t="s">
        <v>140</v>
      </c>
      <c r="AK20" s="4" t="s">
        <v>204</v>
      </c>
      <c r="AL20" s="4" t="s">
        <v>141</v>
      </c>
      <c r="AM20" s="4"/>
      <c r="AN20" s="4"/>
      <c r="AO20" s="4"/>
      <c r="AP20" s="5" t="s">
        <v>222</v>
      </c>
    </row>
    <row r="21" spans="1:42" ht="13.5">
      <c r="A21" s="4" t="s">
        <v>220</v>
      </c>
      <c r="B21" s="3">
        <v>1930665</v>
      </c>
      <c r="C21" s="4" t="s">
        <v>149</v>
      </c>
      <c r="D21" s="4" t="s">
        <v>142</v>
      </c>
      <c r="E21" s="4" t="s">
        <v>135</v>
      </c>
      <c r="F21" s="4" t="s">
        <v>72</v>
      </c>
      <c r="G21" s="4" t="s">
        <v>74</v>
      </c>
      <c r="H21" s="4" t="s">
        <v>207</v>
      </c>
      <c r="I21" s="4"/>
      <c r="J21" s="4"/>
      <c r="K21" s="4" t="s">
        <v>187</v>
      </c>
      <c r="L21" s="4" t="s">
        <v>80</v>
      </c>
      <c r="M21" s="4" t="s">
        <v>187</v>
      </c>
      <c r="N21" s="4" t="s">
        <v>136</v>
      </c>
      <c r="O21" s="4" t="s">
        <v>67</v>
      </c>
      <c r="P21" s="4" t="s">
        <v>150</v>
      </c>
      <c r="Q21" s="4" t="s">
        <v>68</v>
      </c>
      <c r="R21" s="4"/>
      <c r="S21" s="4"/>
      <c r="T21" s="4" t="s">
        <v>69</v>
      </c>
      <c r="U21" s="4" t="s">
        <v>69</v>
      </c>
      <c r="V21" s="4" t="s">
        <v>69</v>
      </c>
      <c r="W21" s="4" t="s">
        <v>69</v>
      </c>
      <c r="X21" s="4" t="s">
        <v>67</v>
      </c>
      <c r="Y21" s="4" t="s">
        <v>69</v>
      </c>
      <c r="Z21" s="4" t="s">
        <v>69</v>
      </c>
      <c r="AA21" s="4"/>
      <c r="AB21" s="4"/>
      <c r="AC21" s="4" t="s">
        <v>90</v>
      </c>
      <c r="AD21" s="4" t="s">
        <v>138</v>
      </c>
      <c r="AE21" s="4" t="s">
        <v>69</v>
      </c>
      <c r="AF21" s="4" t="s">
        <v>165</v>
      </c>
      <c r="AG21" s="4" t="s">
        <v>75</v>
      </c>
      <c r="AH21" s="4"/>
      <c r="AI21" s="4" t="s">
        <v>75</v>
      </c>
      <c r="AJ21" s="4" t="s">
        <v>180</v>
      </c>
      <c r="AK21" s="4" t="s">
        <v>154</v>
      </c>
      <c r="AL21" s="4" t="s">
        <v>141</v>
      </c>
      <c r="AM21" s="4"/>
      <c r="AN21" s="4"/>
      <c r="AO21" s="4"/>
      <c r="AP21" s="5" t="s">
        <v>222</v>
      </c>
    </row>
  </sheetData>
  <phoneticPr fontId="2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CC97-621D-42F7-BDA5-BF7A48CC5C95}">
  <dimension ref="A1:E40"/>
  <sheetViews>
    <sheetView workbookViewId="0">
      <selection activeCell="A40" sqref="A40"/>
    </sheetView>
  </sheetViews>
  <sheetFormatPr defaultRowHeight="16.5"/>
  <cols>
    <col min="3" max="3" width="11.25" bestFit="1" customWidth="1"/>
    <col min="4" max="4" width="15.125" bestFit="1" customWidth="1"/>
  </cols>
  <sheetData>
    <row r="1" spans="1:5">
      <c r="A1" t="s">
        <v>2</v>
      </c>
      <c r="B1" t="s">
        <v>3</v>
      </c>
      <c r="C1" t="s">
        <v>14</v>
      </c>
      <c r="D1" t="s">
        <v>12</v>
      </c>
      <c r="E1" t="s">
        <v>56</v>
      </c>
    </row>
    <row r="2" spans="1:5">
      <c r="A2">
        <v>1930695</v>
      </c>
      <c r="B2" t="str">
        <f>_xlfn.XLOOKUP(관리[[#This Row],[사번]],fa[사원번호],fa[성명],"")</f>
        <v/>
      </c>
      <c r="C2" t="str">
        <f>_xlfn.XLOOKUP(관리[[#This Row],[사번]],fa[사원번호],fa[소속부서],"")</f>
        <v/>
      </c>
      <c r="D2" t="str">
        <f>_xlfn.XLOOKUP(관리[[#This Row],[사번]],fa[사원번호],fa[영업가족명],"")</f>
        <v/>
      </c>
      <c r="E2" t="s">
        <v>11</v>
      </c>
    </row>
    <row r="3" spans="1:5">
      <c r="A3">
        <v>1930361</v>
      </c>
      <c r="B3" t="str">
        <f>_xlfn.XLOOKUP(관리[[#This Row],[사번]],fa[사원번호],fa[성명],"")</f>
        <v/>
      </c>
      <c r="C3" t="str">
        <f>_xlfn.XLOOKUP(관리[[#This Row],[사번]],fa[사원번호],fa[소속부서],"")</f>
        <v/>
      </c>
      <c r="D3" t="str">
        <f>_xlfn.XLOOKUP(관리[[#This Row],[사번]],fa[사원번호],fa[영업가족명],"")</f>
        <v/>
      </c>
      <c r="E3" t="s">
        <v>11</v>
      </c>
    </row>
    <row r="4" spans="1:5">
      <c r="A4">
        <v>1930651</v>
      </c>
      <c r="B4" t="str">
        <f>_xlfn.XLOOKUP(관리[[#This Row],[사번]],fa[사원번호],fa[성명],"")</f>
        <v>조혁</v>
      </c>
      <c r="C4" t="str">
        <f>_xlfn.XLOOKUP(관리[[#This Row],[사번]],fa[사원번호],fa[소속부서],"")</f>
        <v>MA사업4부</v>
      </c>
      <c r="D4" t="str">
        <f>_xlfn.XLOOKUP(관리[[#This Row],[사번]],fa[사원번호],fa[영업가족명],"")</f>
        <v>프로사업단총괄</v>
      </c>
      <c r="E4" t="s">
        <v>13</v>
      </c>
    </row>
    <row r="5" spans="1:5">
      <c r="A5">
        <v>1930665</v>
      </c>
      <c r="B5" t="str">
        <f>_xlfn.XLOOKUP(관리[[#This Row],[사번]],fa[사원번호],fa[성명],"")</f>
        <v>홍종현</v>
      </c>
      <c r="C5" t="str">
        <f>_xlfn.XLOOKUP(관리[[#This Row],[사번]],fa[사원번호],fa[소속부서],"")</f>
        <v>MA사업4부</v>
      </c>
      <c r="D5" t="str">
        <f>_xlfn.XLOOKUP(관리[[#This Row],[사번]],fa[사원번호],fa[영업가족명],"")</f>
        <v>프로사업단총괄</v>
      </c>
      <c r="E5" t="s">
        <v>13</v>
      </c>
    </row>
    <row r="6" spans="1:5">
      <c r="A6">
        <v>2436160</v>
      </c>
      <c r="B6" t="str">
        <f>_xlfn.XLOOKUP(관리[[#This Row],[사번]],fa[사원번호],fa[성명],"")</f>
        <v>이하린</v>
      </c>
      <c r="C6" t="str">
        <f>_xlfn.XLOOKUP(관리[[#This Row],[사번]],fa[사원번호],fa[소속부서],"")</f>
        <v>MA사업4부</v>
      </c>
      <c r="D6" t="str">
        <f>_xlfn.XLOOKUP(관리[[#This Row],[사번]],fa[사원번호],fa[영업가족명],"")</f>
        <v>프로사업단총괄</v>
      </c>
      <c r="E6" t="s">
        <v>13</v>
      </c>
    </row>
    <row r="7" spans="1:5">
      <c r="A7">
        <v>2433160</v>
      </c>
      <c r="B7" t="str">
        <f>_xlfn.XLOOKUP(관리[[#This Row],[사번]],fa[사원번호],fa[성명],"")</f>
        <v>배지형</v>
      </c>
      <c r="C7" t="str">
        <f>_xlfn.XLOOKUP(관리[[#This Row],[사번]],fa[사원번호],fa[소속부서],"")</f>
        <v>MA사업4부</v>
      </c>
      <c r="D7" t="str">
        <f>_xlfn.XLOOKUP(관리[[#This Row],[사번]],fa[사원번호],fa[영업가족명],"")</f>
        <v>프로사업단총괄</v>
      </c>
      <c r="E7" t="s">
        <v>13</v>
      </c>
    </row>
    <row r="8" spans="1:5">
      <c r="A8">
        <v>2230830</v>
      </c>
      <c r="B8" t="str">
        <f>_xlfn.XLOOKUP(관리[[#This Row],[사번]],fa[사원번호],fa[성명],"")</f>
        <v>최승은</v>
      </c>
      <c r="C8" t="str">
        <f>_xlfn.XLOOKUP(관리[[#This Row],[사번]],fa[사원번호],fa[소속부서],"")</f>
        <v>MA사업4부</v>
      </c>
      <c r="D8" t="str">
        <f>_xlfn.XLOOKUP(관리[[#This Row],[사번]],fa[사원번호],fa[영업가족명],"")</f>
        <v>프로사업단총괄</v>
      </c>
      <c r="E8" t="s">
        <v>13</v>
      </c>
    </row>
    <row r="9" spans="1:5">
      <c r="A9">
        <v>2433519</v>
      </c>
      <c r="B9" t="str">
        <f>_xlfn.XLOOKUP(관리[[#This Row],[사번]],fa[사원번호],fa[성명],"")</f>
        <v>송정훈</v>
      </c>
      <c r="C9" t="str">
        <f>_xlfn.XLOOKUP(관리[[#This Row],[사번]],fa[사원번호],fa[소속부서],"")</f>
        <v>MA사업4부</v>
      </c>
      <c r="D9" t="str">
        <f>_xlfn.XLOOKUP(관리[[#This Row],[사번]],fa[사원번호],fa[영업가족명],"")</f>
        <v>프로사업단총괄</v>
      </c>
      <c r="E9" t="s">
        <v>13</v>
      </c>
    </row>
    <row r="10" spans="1:5">
      <c r="A10">
        <v>2030564</v>
      </c>
      <c r="B10" t="str">
        <f>_xlfn.XLOOKUP(관리[[#This Row],[사번]],fa[사원번호],fa[성명],"")</f>
        <v/>
      </c>
      <c r="C10" t="str">
        <f>_xlfn.XLOOKUP(관리[[#This Row],[사번]],fa[사원번호],fa[소속부서],"")</f>
        <v/>
      </c>
      <c r="D10" t="str">
        <f>_xlfn.XLOOKUP(관리[[#This Row],[사번]],fa[사원번호],fa[영업가족명],"")</f>
        <v/>
      </c>
      <c r="E10" t="s">
        <v>11</v>
      </c>
    </row>
    <row r="11" spans="1:5">
      <c r="A11">
        <v>1833215</v>
      </c>
      <c r="B11" t="str">
        <f>_xlfn.XLOOKUP(관리[[#This Row],[사번]],fa[사원번호],fa[성명],"")</f>
        <v/>
      </c>
      <c r="C11" t="str">
        <f>_xlfn.XLOOKUP(관리[[#This Row],[사번]],fa[사원번호],fa[소속부서],"")</f>
        <v/>
      </c>
      <c r="D11" t="str">
        <f>_xlfn.XLOOKUP(관리[[#This Row],[사번]],fa[사원번호],fa[영업가족명],"")</f>
        <v/>
      </c>
      <c r="E11" t="s">
        <v>11</v>
      </c>
    </row>
    <row r="12" spans="1:5">
      <c r="A12">
        <v>2232262</v>
      </c>
      <c r="B12" t="str">
        <f>_xlfn.XLOOKUP(관리[[#This Row],[사번]],fa[사원번호],fa[성명],"")</f>
        <v/>
      </c>
      <c r="C12" t="str">
        <f>_xlfn.XLOOKUP(관리[[#This Row],[사번]],fa[사원번호],fa[소속부서],"")</f>
        <v/>
      </c>
      <c r="D12" t="str">
        <f>_xlfn.XLOOKUP(관리[[#This Row],[사번]],fa[사원번호],fa[영업가족명],"")</f>
        <v/>
      </c>
      <c r="E12" t="s">
        <v>11</v>
      </c>
    </row>
    <row r="13" spans="1:5">
      <c r="A13">
        <v>2335382</v>
      </c>
      <c r="B13" t="str">
        <f>_xlfn.XLOOKUP(관리[[#This Row],[사번]],fa[사원번호],fa[성명],"")</f>
        <v/>
      </c>
      <c r="C13" t="str">
        <f>_xlfn.XLOOKUP(관리[[#This Row],[사번]],fa[사원번호],fa[소속부서],"")</f>
        <v/>
      </c>
      <c r="D13" t="str">
        <f>_xlfn.XLOOKUP(관리[[#This Row],[사번]],fa[사원번호],fa[영업가족명],"")</f>
        <v/>
      </c>
      <c r="E13" t="s">
        <v>11</v>
      </c>
    </row>
    <row r="14" spans="1:5">
      <c r="A14">
        <v>2131713</v>
      </c>
      <c r="B14" t="str">
        <f>_xlfn.XLOOKUP(관리[[#This Row],[사번]],fa[사원번호],fa[성명],"")</f>
        <v/>
      </c>
      <c r="C14" t="str">
        <f>_xlfn.XLOOKUP(관리[[#This Row],[사번]],fa[사원번호],fa[소속부서],"")</f>
        <v/>
      </c>
      <c r="D14" t="str">
        <f>_xlfn.XLOOKUP(관리[[#This Row],[사번]],fa[사원번호],fa[영업가족명],"")</f>
        <v/>
      </c>
      <c r="E14" t="s">
        <v>11</v>
      </c>
    </row>
    <row r="15" spans="1:5">
      <c r="A15">
        <v>1933538</v>
      </c>
      <c r="B15" t="str">
        <f>_xlfn.XLOOKUP(관리[[#This Row],[사번]],fa[사원번호],fa[성명],"")</f>
        <v/>
      </c>
      <c r="C15" t="str">
        <f>_xlfn.XLOOKUP(관리[[#This Row],[사번]],fa[사원번호],fa[소속부서],"")</f>
        <v/>
      </c>
      <c r="D15" t="str">
        <f>_xlfn.XLOOKUP(관리[[#This Row],[사번]],fa[사원번호],fa[영업가족명],"")</f>
        <v/>
      </c>
      <c r="E15" t="s">
        <v>11</v>
      </c>
    </row>
    <row r="16" spans="1:5">
      <c r="A16">
        <v>1683195</v>
      </c>
      <c r="B16" t="str">
        <f>_xlfn.XLOOKUP(관리[[#This Row],[사번]],fa[사원번호],fa[성명],"")</f>
        <v/>
      </c>
      <c r="C16" t="str">
        <f>_xlfn.XLOOKUP(관리[[#This Row],[사번]],fa[사원번호],fa[소속부서],"")</f>
        <v/>
      </c>
      <c r="D16" t="str">
        <f>_xlfn.XLOOKUP(관리[[#This Row],[사번]],fa[사원번호],fa[영업가족명],"")</f>
        <v/>
      </c>
      <c r="E16" t="s">
        <v>11</v>
      </c>
    </row>
    <row r="17" spans="1:5">
      <c r="A17">
        <v>1934617</v>
      </c>
      <c r="B17" t="str">
        <f>_xlfn.XLOOKUP(관리[[#This Row],[사번]],fa[사원번호],fa[성명],"")</f>
        <v/>
      </c>
      <c r="C17" t="str">
        <f>_xlfn.XLOOKUP(관리[[#This Row],[사번]],fa[사원번호],fa[소속부서],"")</f>
        <v/>
      </c>
      <c r="D17" t="str">
        <f>_xlfn.XLOOKUP(관리[[#This Row],[사번]],fa[사원번호],fa[영업가족명],"")</f>
        <v/>
      </c>
      <c r="E17" t="s">
        <v>11</v>
      </c>
    </row>
    <row r="18" spans="1:5">
      <c r="A18">
        <v>2032638</v>
      </c>
      <c r="B18" t="str">
        <f>_xlfn.XLOOKUP(관리[[#This Row],[사번]],fa[사원번호],fa[성명],"")</f>
        <v/>
      </c>
      <c r="C18" t="str">
        <f>_xlfn.XLOOKUP(관리[[#This Row],[사번]],fa[사원번호],fa[소속부서],"")</f>
        <v/>
      </c>
      <c r="D18" t="str">
        <f>_xlfn.XLOOKUP(관리[[#This Row],[사번]],fa[사원번호],fa[영업가족명],"")</f>
        <v/>
      </c>
      <c r="E18" t="s">
        <v>11</v>
      </c>
    </row>
    <row r="19" spans="1:5">
      <c r="A19">
        <v>2032762</v>
      </c>
      <c r="B19" t="str">
        <f>_xlfn.XLOOKUP(관리[[#This Row],[사번]],fa[사원번호],fa[성명],"")</f>
        <v/>
      </c>
      <c r="C19" t="str">
        <f>_xlfn.XLOOKUP(관리[[#This Row],[사번]],fa[사원번호],fa[소속부서],"")</f>
        <v/>
      </c>
      <c r="D19" t="str">
        <f>_xlfn.XLOOKUP(관리[[#This Row],[사번]],fa[사원번호],fa[영업가족명],"")</f>
        <v/>
      </c>
      <c r="E19" t="s">
        <v>11</v>
      </c>
    </row>
    <row r="20" spans="1:5">
      <c r="A20">
        <v>2132679</v>
      </c>
      <c r="B20" t="str">
        <f>_xlfn.XLOOKUP(관리[[#This Row],[사번]],fa[사원번호],fa[성명],"")</f>
        <v/>
      </c>
      <c r="C20" t="str">
        <f>_xlfn.XLOOKUP(관리[[#This Row],[사번]],fa[사원번호],fa[소속부서],"")</f>
        <v/>
      </c>
      <c r="D20" t="str">
        <f>_xlfn.XLOOKUP(관리[[#This Row],[사번]],fa[사원번호],fa[영업가족명],"")</f>
        <v/>
      </c>
      <c r="E20" t="s">
        <v>11</v>
      </c>
    </row>
    <row r="21" spans="1:5">
      <c r="A21">
        <v>1930659</v>
      </c>
      <c r="B21" t="str">
        <f>_xlfn.XLOOKUP(관리[[#This Row],[사번]],fa[사원번호],fa[성명],"")</f>
        <v>강영석</v>
      </c>
      <c r="C21" s="7" t="str">
        <f>_xlfn.XLOOKUP(관리[[#This Row],[사번]],fa[사원번호],fa[소속부서],"")</f>
        <v>MA사업4부</v>
      </c>
      <c r="D21" s="7" t="str">
        <f>_xlfn.XLOOKUP(관리[[#This Row],[사번]],fa[사원번호],fa[영업가족명],"")</f>
        <v>프로사업단총괄</v>
      </c>
      <c r="E21" t="s">
        <v>13</v>
      </c>
    </row>
    <row r="22" spans="1:5">
      <c r="A22">
        <v>2233530</v>
      </c>
      <c r="B22" t="str">
        <f>_xlfn.XLOOKUP(관리[[#This Row],[사번]],fa[사원번호],fa[성명],"")</f>
        <v>권순목</v>
      </c>
      <c r="C22" s="7" t="str">
        <f>_xlfn.XLOOKUP(관리[[#This Row],[사번]],fa[사원번호],fa[소속부서],"")</f>
        <v>MA사업4부</v>
      </c>
      <c r="D22" s="7" t="str">
        <f>_xlfn.XLOOKUP(관리[[#This Row],[사번]],fa[사원번호],fa[영업가족명],"")</f>
        <v>프로사업단총괄</v>
      </c>
      <c r="E22" t="s">
        <v>13</v>
      </c>
    </row>
    <row r="23" spans="1:5">
      <c r="A23">
        <v>2031355</v>
      </c>
      <c r="B23" t="str">
        <f>_xlfn.XLOOKUP(관리[[#This Row],[사번]],fa[사원번호],fa[성명],"")</f>
        <v>박혁규</v>
      </c>
      <c r="C23" s="7" t="str">
        <f>_xlfn.XLOOKUP(관리[[#This Row],[사번]],fa[사원번호],fa[소속부서],"")</f>
        <v>MA사업4부</v>
      </c>
      <c r="D23" s="7" t="str">
        <f>_xlfn.XLOOKUP(관리[[#This Row],[사번]],fa[사원번호],fa[영업가족명],"")</f>
        <v>프로사업단총괄</v>
      </c>
      <c r="E23" t="s">
        <v>13</v>
      </c>
    </row>
    <row r="24" spans="1:5">
      <c r="A24">
        <v>2433160</v>
      </c>
      <c r="B24" t="str">
        <f>_xlfn.XLOOKUP(관리[[#This Row],[사번]],fa[사원번호],fa[성명],"")</f>
        <v>배지형</v>
      </c>
      <c r="C24" s="7" t="str">
        <f>_xlfn.XLOOKUP(관리[[#This Row],[사번]],fa[사원번호],fa[소속부서],"")</f>
        <v>MA사업4부</v>
      </c>
      <c r="D24" s="7" t="str">
        <f>_xlfn.XLOOKUP(관리[[#This Row],[사번]],fa[사원번호],fa[영업가족명],"")</f>
        <v>프로사업단총괄</v>
      </c>
      <c r="E24" t="s">
        <v>13</v>
      </c>
    </row>
    <row r="25" spans="1:5">
      <c r="A25">
        <v>2542251</v>
      </c>
      <c r="B25" t="str">
        <f>_xlfn.XLOOKUP(관리[[#This Row],[사번]],fa[사원번호],fa[성명],"")</f>
        <v>서영미</v>
      </c>
      <c r="C25" s="7" t="str">
        <f>_xlfn.XLOOKUP(관리[[#This Row],[사번]],fa[사원번호],fa[소속부서],"")</f>
        <v>MA사업4부</v>
      </c>
      <c r="D25" s="7" t="str">
        <f>_xlfn.XLOOKUP(관리[[#This Row],[사번]],fa[사원번호],fa[영업가족명],"")</f>
        <v>프로사업단총괄</v>
      </c>
      <c r="E25" t="s">
        <v>13</v>
      </c>
    </row>
    <row r="26" spans="1:5">
      <c r="A26">
        <v>2331860</v>
      </c>
      <c r="B26" t="str">
        <f>_xlfn.XLOOKUP(관리[[#This Row],[사번]],fa[사원번호],fa[성명],"")</f>
        <v>손예지</v>
      </c>
      <c r="C26" s="7" t="str">
        <f>_xlfn.XLOOKUP(관리[[#This Row],[사번]],fa[사원번호],fa[소속부서],"")</f>
        <v>MA사업4부</v>
      </c>
      <c r="D26" s="7" t="str">
        <f>_xlfn.XLOOKUP(관리[[#This Row],[사번]],fa[사원번호],fa[영업가족명],"")</f>
        <v>프로사업단총괄</v>
      </c>
      <c r="E26" t="s">
        <v>13</v>
      </c>
    </row>
    <row r="27" spans="1:5">
      <c r="A27">
        <v>2433519</v>
      </c>
      <c r="B27" t="str">
        <f>_xlfn.XLOOKUP(관리[[#This Row],[사번]],fa[사원번호],fa[성명],"")</f>
        <v>송정훈</v>
      </c>
      <c r="C27" s="7" t="str">
        <f>_xlfn.XLOOKUP(관리[[#This Row],[사번]],fa[사원번호],fa[소속부서],"")</f>
        <v>MA사업4부</v>
      </c>
      <c r="D27" s="7" t="str">
        <f>_xlfn.XLOOKUP(관리[[#This Row],[사번]],fa[사원번호],fa[영업가족명],"")</f>
        <v>프로사업단총괄</v>
      </c>
      <c r="E27" t="s">
        <v>13</v>
      </c>
    </row>
    <row r="28" spans="1:5">
      <c r="A28">
        <v>1930671</v>
      </c>
      <c r="B28" t="str">
        <f>_xlfn.XLOOKUP(관리[[#This Row],[사번]],fa[사원번호],fa[성명],"")</f>
        <v>신현욱</v>
      </c>
      <c r="C28" s="7" t="str">
        <f>_xlfn.XLOOKUP(관리[[#This Row],[사번]],fa[사원번호],fa[소속부서],"")</f>
        <v>MA사업4부</v>
      </c>
      <c r="D28" s="7" t="str">
        <f>_xlfn.XLOOKUP(관리[[#This Row],[사번]],fa[사원번호],fa[영업가족명],"")</f>
        <v>프로사업단총괄</v>
      </c>
      <c r="E28" t="s">
        <v>13</v>
      </c>
    </row>
    <row r="29" spans="1:5">
      <c r="A29">
        <v>1930664</v>
      </c>
      <c r="B29" t="str">
        <f>_xlfn.XLOOKUP(관리[[#This Row],[사번]],fa[사원번호],fa[성명],"")</f>
        <v>이동주</v>
      </c>
      <c r="C29" s="7" t="str">
        <f>_xlfn.XLOOKUP(관리[[#This Row],[사번]],fa[사원번호],fa[소속부서],"")</f>
        <v>MA사업4부</v>
      </c>
      <c r="D29" s="7" t="str">
        <f>_xlfn.XLOOKUP(관리[[#This Row],[사번]],fa[사원번호],fa[영업가족명],"")</f>
        <v>프로사업단총괄</v>
      </c>
      <c r="E29" t="s">
        <v>13</v>
      </c>
    </row>
    <row r="30" spans="1:5">
      <c r="A30">
        <v>2433122</v>
      </c>
      <c r="B30" t="str">
        <f>_xlfn.XLOOKUP(관리[[#This Row],[사번]],fa[사원번호],fa[성명],"")</f>
        <v>이승현</v>
      </c>
      <c r="C30" s="7" t="str">
        <f>_xlfn.XLOOKUP(관리[[#This Row],[사번]],fa[사원번호],fa[소속부서],"")</f>
        <v>MA사업4부</v>
      </c>
      <c r="D30" s="7" t="str">
        <f>_xlfn.XLOOKUP(관리[[#This Row],[사번]],fa[사원번호],fa[영업가족명],"")</f>
        <v>프로사업단총괄</v>
      </c>
      <c r="E30" t="s">
        <v>13</v>
      </c>
    </row>
    <row r="31" spans="1:5">
      <c r="A31">
        <v>2336627</v>
      </c>
      <c r="B31" t="str">
        <f>_xlfn.XLOOKUP(관리[[#This Row],[사번]],fa[사원번호],fa[성명],"")</f>
        <v>이태한</v>
      </c>
      <c r="C31" s="7" t="str">
        <f>_xlfn.XLOOKUP(관리[[#This Row],[사번]],fa[사원번호],fa[소속부서],"")</f>
        <v>MA사업4부</v>
      </c>
      <c r="D31" s="7" t="str">
        <f>_xlfn.XLOOKUP(관리[[#This Row],[사번]],fa[사원번호],fa[영업가족명],"")</f>
        <v>프로사업단총괄</v>
      </c>
      <c r="E31" t="s">
        <v>13</v>
      </c>
    </row>
    <row r="32" spans="1:5">
      <c r="A32">
        <v>2436160</v>
      </c>
      <c r="B32" t="str">
        <f>_xlfn.XLOOKUP(관리[[#This Row],[사번]],fa[사원번호],fa[성명],"")</f>
        <v>이하린</v>
      </c>
      <c r="C32" s="7" t="str">
        <f>_xlfn.XLOOKUP(관리[[#This Row],[사번]],fa[사원번호],fa[소속부서],"")</f>
        <v>MA사업4부</v>
      </c>
      <c r="D32" s="7" t="str">
        <f>_xlfn.XLOOKUP(관리[[#This Row],[사번]],fa[사원번호],fa[영업가족명],"")</f>
        <v>프로사업단총괄</v>
      </c>
      <c r="E32" t="s">
        <v>13</v>
      </c>
    </row>
    <row r="33" spans="1:5">
      <c r="A33">
        <v>2230184</v>
      </c>
      <c r="B33" t="str">
        <f>_xlfn.XLOOKUP(관리[[#This Row],[사번]],fa[사원번호],fa[성명],"")</f>
        <v>임근평</v>
      </c>
      <c r="C33" s="7" t="str">
        <f>_xlfn.XLOOKUP(관리[[#This Row],[사번]],fa[사원번호],fa[소속부서],"")</f>
        <v>MA사업4부</v>
      </c>
      <c r="D33" s="7" t="str">
        <f>_xlfn.XLOOKUP(관리[[#This Row],[사번]],fa[사원번호],fa[영업가족명],"")</f>
        <v>프로사업단총괄</v>
      </c>
      <c r="E33" t="s">
        <v>13</v>
      </c>
    </row>
    <row r="34" spans="1:5">
      <c r="A34">
        <v>2230129</v>
      </c>
      <c r="B34" t="str">
        <f>_xlfn.XLOOKUP(관리[[#This Row],[사번]],fa[사원번호],fa[성명],"")</f>
        <v>전성재</v>
      </c>
      <c r="C34" s="7" t="str">
        <f>_xlfn.XLOOKUP(관리[[#This Row],[사번]],fa[사원번호],fa[소속부서],"")</f>
        <v>MA사업4부</v>
      </c>
      <c r="D34" s="7" t="str">
        <f>_xlfn.XLOOKUP(관리[[#This Row],[사번]],fa[사원번호],fa[영업가족명],"")</f>
        <v>프로사업단총괄</v>
      </c>
      <c r="E34" t="s">
        <v>13</v>
      </c>
    </row>
    <row r="35" spans="1:5">
      <c r="A35">
        <v>2537515</v>
      </c>
      <c r="B35" t="str">
        <f>_xlfn.XLOOKUP(관리[[#This Row],[사번]],fa[사원번호],fa[성명],"")</f>
        <v>정영수</v>
      </c>
      <c r="C35" s="7" t="str">
        <f>_xlfn.XLOOKUP(관리[[#This Row],[사번]],fa[사원번호],fa[소속부서],"")</f>
        <v>MA사업4부</v>
      </c>
      <c r="D35" s="7" t="str">
        <f>_xlfn.XLOOKUP(관리[[#This Row],[사번]],fa[사원번호],fa[영업가족명],"")</f>
        <v>프로사업단총괄</v>
      </c>
      <c r="E35" t="s">
        <v>13</v>
      </c>
    </row>
    <row r="36" spans="1:5">
      <c r="A36">
        <v>1930651</v>
      </c>
      <c r="B36" t="str">
        <f>_xlfn.XLOOKUP(관리[[#This Row],[사번]],fa[사원번호],fa[성명],"")</f>
        <v>조혁</v>
      </c>
      <c r="C36" s="7" t="str">
        <f>_xlfn.XLOOKUP(관리[[#This Row],[사번]],fa[사원번호],fa[소속부서],"")</f>
        <v>MA사업4부</v>
      </c>
      <c r="D36" s="7" t="str">
        <f>_xlfn.XLOOKUP(관리[[#This Row],[사번]],fa[사원번호],fa[영업가족명],"")</f>
        <v>프로사업단총괄</v>
      </c>
      <c r="E36" t="s">
        <v>13</v>
      </c>
    </row>
    <row r="37" spans="1:5">
      <c r="A37">
        <v>2230830</v>
      </c>
      <c r="B37" t="str">
        <f>_xlfn.XLOOKUP(관리[[#This Row],[사번]],fa[사원번호],fa[성명],"")</f>
        <v>최승은</v>
      </c>
      <c r="C37" s="7" t="str">
        <f>_xlfn.XLOOKUP(관리[[#This Row],[사번]],fa[사원번호],fa[소속부서],"")</f>
        <v>MA사업4부</v>
      </c>
      <c r="D37" s="7" t="str">
        <f>_xlfn.XLOOKUP(관리[[#This Row],[사번]],fa[사원번호],fa[영업가족명],"")</f>
        <v>프로사업단총괄</v>
      </c>
      <c r="E37" t="s">
        <v>13</v>
      </c>
    </row>
    <row r="38" spans="1:5">
      <c r="A38">
        <v>2435454</v>
      </c>
      <c r="B38" t="str">
        <f>_xlfn.XLOOKUP(관리[[#This Row],[사번]],fa[사원번호],fa[성명],"")</f>
        <v>최영훈</v>
      </c>
      <c r="C38" s="7" t="str">
        <f>_xlfn.XLOOKUP(관리[[#This Row],[사번]],fa[사원번호],fa[소속부서],"")</f>
        <v>MA사업4부</v>
      </c>
      <c r="D38" s="7" t="str">
        <f>_xlfn.XLOOKUP(관리[[#This Row],[사번]],fa[사원번호],fa[영업가족명],"")</f>
        <v>프로사업단총괄</v>
      </c>
      <c r="E38" t="s">
        <v>13</v>
      </c>
    </row>
    <row r="39" spans="1:5">
      <c r="A39">
        <v>2535421</v>
      </c>
      <c r="B39" t="str">
        <f>_xlfn.XLOOKUP(관리[[#This Row],[사번]],fa[사원번호],fa[성명],"")</f>
        <v>최은영</v>
      </c>
      <c r="C39" s="7" t="str">
        <f>_xlfn.XLOOKUP(관리[[#This Row],[사번]],fa[사원번호],fa[소속부서],"")</f>
        <v>MA사업4부</v>
      </c>
      <c r="D39" s="7" t="str">
        <f>_xlfn.XLOOKUP(관리[[#This Row],[사번]],fa[사원번호],fa[영업가족명],"")</f>
        <v>프로사업단총괄</v>
      </c>
      <c r="E39" t="s">
        <v>13</v>
      </c>
    </row>
    <row r="40" spans="1:5">
      <c r="A40">
        <v>1930665</v>
      </c>
      <c r="B40" t="str">
        <f>_xlfn.XLOOKUP(관리[[#This Row],[사번]],fa[사원번호],fa[성명],"")</f>
        <v>홍종현</v>
      </c>
      <c r="C40" s="7" t="str">
        <f>_xlfn.XLOOKUP(관리[[#This Row],[사번]],fa[사원번호],fa[소속부서],"")</f>
        <v>MA사업4부</v>
      </c>
      <c r="D40" s="7" t="str">
        <f>_xlfn.XLOOKUP(관리[[#This Row],[사번]],fa[사원번호],fa[영업가족명],"")</f>
        <v>프로사업단총괄</v>
      </c>
      <c r="E40" t="s">
        <v>13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workbookViewId="0"/>
  </sheetViews>
  <sheetFormatPr defaultRowHeight="16.5"/>
  <cols>
    <col min="1" max="1" width="8.5" bestFit="1" customWidth="1"/>
    <col min="2" max="2" width="8.5" customWidth="1"/>
    <col min="3" max="3" width="10.875" bestFit="1" customWidth="1"/>
    <col min="4" max="4" width="10.875" customWidth="1"/>
    <col min="5" max="6" width="15.125" bestFit="1" customWidth="1"/>
    <col min="7" max="8" width="8.625" bestFit="1" customWidth="1"/>
    <col min="9" max="9" width="10.5" customWidth="1"/>
    <col min="11" max="11" width="11.125" bestFit="1" customWidth="1"/>
    <col min="13" max="13" width="9.25" bestFit="1" customWidth="1"/>
    <col min="14" max="14" width="10.5" bestFit="1" customWidth="1"/>
  </cols>
  <sheetData>
    <row r="1" spans="1:14">
      <c r="A1" s="1" t="s">
        <v>2</v>
      </c>
      <c r="B1" s="1" t="s">
        <v>57</v>
      </c>
      <c r="C1" s="1" t="s">
        <v>3</v>
      </c>
      <c r="D1" s="1" t="s">
        <v>58</v>
      </c>
      <c r="E1" s="1" t="s">
        <v>14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0</v>
      </c>
      <c r="N1" s="1" t="s">
        <v>1</v>
      </c>
    </row>
    <row r="2" spans="1:14">
      <c r="A2" cm="1">
        <f t="array" ref="A2:A21">_xlfn.UNIQUE(fa[사원번호])</f>
        <v>1930659</v>
      </c>
      <c r="C2" t="str" cm="1">
        <f t="array" ref="C2:C21">IF(_xlfn.XLOOKUP(_xlfn.ANCHORARRAY(A2),fa[사원번호],fa[성명],"")=0,"",_xlfn.XLOOKUP(_xlfn.ANCHORARRAY(A2),fa[사원번호],fa[성명],""))</f>
        <v>강영석</v>
      </c>
      <c r="D2" t="str" cm="1">
        <f t="array" ref="D2:D21">IF(_xlfn.ANCHORARRAY(A2)&gt;0,"MA부문")</f>
        <v>MA부문</v>
      </c>
      <c r="E2" t="str" cm="1">
        <f t="array" ref="E2:E21">_xlfn.XLOOKUP(_xlfn.ANCHORARRAY(A2),fa[사원번호],fa[소속부서],"")</f>
        <v>MA사업4부</v>
      </c>
      <c r="F2" t="str" cm="1">
        <f t="array" ref="F2:F21">_xlfn.XLOOKUP(_xlfn.ANCHORARRAY(A2),fa[사원번호],fa[영업가족명],"")</f>
        <v>프로사업단총괄</v>
      </c>
      <c r="G2" t="str" cm="1">
        <f t="array" ref="G2:G21">IF(_xlfn.XLOOKUP(_xlfn.ANCHORARRAY(A2),관리[사번],관리[권한],"")="최상위관리자","main_admin",IF(_xlfn.XLOOKUP(_xlfn.ANCHORARRAY(A2),관리[사번],관리[권한],"")="중간관리자","sub_admin",(IF(_xlfn.ANCHORARRAY(H2)="재직","Basic","Inactive"))))</f>
        <v>sub_admin</v>
      </c>
      <c r="H2" t="str" cm="1">
        <f t="array" ref="H2:H21">_xlfn.XLOOKUP(_xlfn.ANCHORARRAY(A2),fa[사원번호],fa[재직여부],"")</f>
        <v>재직</v>
      </c>
      <c r="I2" t="str" cm="1">
        <f t="array" ref="I2:I21">_xlfn.XLOOKUP(_xlfn.ANCHORARRAY(A2),fa[사원번호],fa[유자격(사용인)],"")</f>
        <v>손생등록</v>
      </c>
      <c r="J2" t="str" cm="1">
        <f t="array" ref="J2:J21">IF(TEXT(_xlfn.XLOOKUP(_xlfn.ANCHORARRAY(A2),fa[사원번호],fa[생년월일],""),"####-##-##")="--","",TEXT(_xlfn.XLOOKUP(_xlfn.ANCHORARRAY(A2),fa[사원번호],fa[생년월일],""),"####-##-##"))</f>
        <v>1989-03-28</v>
      </c>
      <c r="K2" t="str" cm="1">
        <f t="array" ref="K2:K21">SUBSTITUTE(_xlfn.XLOOKUP(_xlfn.ANCHORARRAY(A2),fa[사원번호],fa[입사일자(사원)],""),"/","-")</f>
        <v>2019-03-06</v>
      </c>
      <c r="L2" t="str" cm="1">
        <f t="array" ref="L2:L21">SUBSTITUTE(_xlfn.XLOOKUP(_xlfn.ANCHORARRAY(A2),fa[사원번호],fa[퇴사일자(사원)],""),"/","-")</f>
        <v/>
      </c>
      <c r="M2" t="b" cm="1">
        <f t="array" ref="M2:M21">IF(_xlfn.ANCHORARRAY(A2)=TRUE,FALSE,FALSE)</f>
        <v>0</v>
      </c>
      <c r="N2" t="b" cm="1">
        <f t="array" ref="N2:N21">IF(_xlfn.ANCHORARRAY(H2)=TRUE,TRUE,TRUE)</f>
        <v>1</v>
      </c>
    </row>
    <row r="3" spans="1:14">
      <c r="A3">
        <v>2233530</v>
      </c>
      <c r="C3" t="str">
        <v>권순목</v>
      </c>
      <c r="D3" t="str">
        <v>MA부문</v>
      </c>
      <c r="E3" t="str">
        <v>MA사업4부</v>
      </c>
      <c r="F3" t="str">
        <v>프로사업단총괄</v>
      </c>
      <c r="G3" t="str">
        <v>sub_admin</v>
      </c>
      <c r="H3" t="str">
        <v>재직</v>
      </c>
      <c r="I3" t="str">
        <v>손생등록</v>
      </c>
      <c r="J3" t="str">
        <v>1993-01-20</v>
      </c>
      <c r="K3" t="str">
        <v>2022-08-05</v>
      </c>
      <c r="L3" t="str">
        <v/>
      </c>
      <c r="M3" t="b">
        <v>0</v>
      </c>
      <c r="N3" t="b">
        <v>1</v>
      </c>
    </row>
    <row r="4" spans="1:14">
      <c r="A4">
        <v>2031355</v>
      </c>
      <c r="C4" t="str">
        <v>박혁규</v>
      </c>
      <c r="D4" t="str">
        <v>MA부문</v>
      </c>
      <c r="E4" t="str">
        <v>MA사업4부</v>
      </c>
      <c r="F4" t="str">
        <v>프로사업단총괄</v>
      </c>
      <c r="G4" t="str">
        <v>sub_admin</v>
      </c>
      <c r="H4" t="str">
        <v>퇴사</v>
      </c>
      <c r="I4" t="str">
        <v>손생말소</v>
      </c>
      <c r="J4" t="str">
        <v>1993-09-23</v>
      </c>
      <c r="K4" t="str">
        <v>2020-04-28</v>
      </c>
      <c r="L4" t="str">
        <v>2021-08-19</v>
      </c>
      <c r="M4" t="b">
        <v>0</v>
      </c>
      <c r="N4" t="b">
        <v>1</v>
      </c>
    </row>
    <row r="5" spans="1:14">
      <c r="A5">
        <v>2433160</v>
      </c>
      <c r="C5" t="str">
        <v>배지형</v>
      </c>
      <c r="D5" t="str">
        <v>MA부문</v>
      </c>
      <c r="E5" t="str">
        <v>MA사업4부</v>
      </c>
      <c r="F5" t="str">
        <v>프로사업단총괄</v>
      </c>
      <c r="G5" t="str">
        <v>sub_admin</v>
      </c>
      <c r="H5" t="str">
        <v>재직</v>
      </c>
      <c r="I5" t="str">
        <v>손생등록</v>
      </c>
      <c r="J5" t="str">
        <v>1990-06-11</v>
      </c>
      <c r="K5" t="str">
        <v>2024-04-25</v>
      </c>
      <c r="L5" t="str">
        <v/>
      </c>
      <c r="M5" t="b">
        <v>0</v>
      </c>
      <c r="N5" t="b">
        <v>1</v>
      </c>
    </row>
    <row r="6" spans="1:14">
      <c r="A6">
        <v>2542251</v>
      </c>
      <c r="C6" t="str">
        <v>서영미</v>
      </c>
      <c r="D6" t="str">
        <v>MA부문</v>
      </c>
      <c r="E6" t="str">
        <v>MA사업4부</v>
      </c>
      <c r="F6" t="str">
        <v>프로사업단총괄</v>
      </c>
      <c r="G6" t="str">
        <v>sub_admin</v>
      </c>
      <c r="H6" t="str">
        <v>재직</v>
      </c>
      <c r="I6" t="str">
        <v>손생등록</v>
      </c>
      <c r="J6" t="str">
        <v>1968-12-07</v>
      </c>
      <c r="K6" t="str">
        <v>2025-10-29</v>
      </c>
      <c r="L6" t="str">
        <v/>
      </c>
      <c r="M6" t="b">
        <v>0</v>
      </c>
      <c r="N6" t="b">
        <v>1</v>
      </c>
    </row>
    <row r="7" spans="1:14">
      <c r="A7">
        <v>2331860</v>
      </c>
      <c r="C7" t="str">
        <v>손예지</v>
      </c>
      <c r="D7" t="str">
        <v>MA부문</v>
      </c>
      <c r="E7" t="str">
        <v>MA사업4부</v>
      </c>
      <c r="F7" t="str">
        <v>프로사업단총괄</v>
      </c>
      <c r="G7" t="str">
        <v>sub_admin</v>
      </c>
      <c r="H7" t="str">
        <v>재직</v>
      </c>
      <c r="I7" t="str">
        <v>손생등록</v>
      </c>
      <c r="J7" t="str">
        <v>1979-05-14</v>
      </c>
      <c r="K7" t="str">
        <v>2023-03-23</v>
      </c>
      <c r="L7" t="str">
        <v/>
      </c>
      <c r="M7" t="b">
        <v>0</v>
      </c>
      <c r="N7" t="b">
        <v>1</v>
      </c>
    </row>
    <row r="8" spans="1:14">
      <c r="A8">
        <v>2433519</v>
      </c>
      <c r="C8" t="str">
        <v>송정훈</v>
      </c>
      <c r="D8" t="str">
        <v>MA부문</v>
      </c>
      <c r="E8" t="str">
        <v>MA사업4부</v>
      </c>
      <c r="F8" t="str">
        <v>프로사업단총괄</v>
      </c>
      <c r="G8" t="str">
        <v>sub_admin</v>
      </c>
      <c r="H8" t="str">
        <v>재직</v>
      </c>
      <c r="I8" t="str">
        <v>손생등록</v>
      </c>
      <c r="J8" t="str">
        <v>1992-12-19</v>
      </c>
      <c r="K8" t="str">
        <v>2024-05-10</v>
      </c>
      <c r="L8" t="str">
        <v/>
      </c>
      <c r="M8" t="b">
        <v>0</v>
      </c>
      <c r="N8" t="b">
        <v>1</v>
      </c>
    </row>
    <row r="9" spans="1:14">
      <c r="A9">
        <v>1930671</v>
      </c>
      <c r="C9" t="str">
        <v>신현욱</v>
      </c>
      <c r="D9" t="str">
        <v>MA부문</v>
      </c>
      <c r="E9" t="str">
        <v>MA사업4부</v>
      </c>
      <c r="F9" t="str">
        <v>프로사업단총괄</v>
      </c>
      <c r="G9" t="str">
        <v>sub_admin</v>
      </c>
      <c r="H9" t="str">
        <v>재직</v>
      </c>
      <c r="I9" t="str">
        <v>손생등록</v>
      </c>
      <c r="J9" t="str">
        <v>1990-07-20</v>
      </c>
      <c r="K9" t="str">
        <v>2019-03-06</v>
      </c>
      <c r="L9" t="str">
        <v/>
      </c>
      <c r="M9" t="b">
        <v>0</v>
      </c>
      <c r="N9" t="b">
        <v>1</v>
      </c>
    </row>
    <row r="10" spans="1:14">
      <c r="A10">
        <v>1930664</v>
      </c>
      <c r="C10" t="str">
        <v>이동주</v>
      </c>
      <c r="D10" t="str">
        <v>MA부문</v>
      </c>
      <c r="E10" t="str">
        <v>MA사업4부</v>
      </c>
      <c r="F10" t="str">
        <v>프로사업단총괄</v>
      </c>
      <c r="G10" t="str">
        <v>sub_admin</v>
      </c>
      <c r="H10" t="str">
        <v>재직</v>
      </c>
      <c r="I10" t="str">
        <v>손생등록</v>
      </c>
      <c r="J10" t="str">
        <v>1989-12-25</v>
      </c>
      <c r="K10" t="str">
        <v>2019-03-06</v>
      </c>
      <c r="L10" t="str">
        <v/>
      </c>
      <c r="M10" t="b">
        <v>0</v>
      </c>
      <c r="N10" t="b">
        <v>1</v>
      </c>
    </row>
    <row r="11" spans="1:14">
      <c r="A11">
        <v>2433122</v>
      </c>
      <c r="C11" t="str">
        <v>이승현</v>
      </c>
      <c r="D11" t="str">
        <v>MA부문</v>
      </c>
      <c r="E11" t="str">
        <v>MA사업4부</v>
      </c>
      <c r="F11" t="str">
        <v>프로사업단총괄</v>
      </c>
      <c r="G11" t="str">
        <v>sub_admin</v>
      </c>
      <c r="H11" t="str">
        <v>재직</v>
      </c>
      <c r="I11" t="str">
        <v>손생등록</v>
      </c>
      <c r="J11" t="str">
        <v>1990-10-11</v>
      </c>
      <c r="K11" t="str">
        <v>2024-04-23</v>
      </c>
      <c r="L11" t="str">
        <v/>
      </c>
      <c r="M11" t="b">
        <v>0</v>
      </c>
      <c r="N11" t="b">
        <v>1</v>
      </c>
    </row>
    <row r="12" spans="1:14">
      <c r="A12">
        <v>2336627</v>
      </c>
      <c r="C12" t="str">
        <v>이태한</v>
      </c>
      <c r="D12" t="str">
        <v>MA부문</v>
      </c>
      <c r="E12" t="str">
        <v>MA사업4부</v>
      </c>
      <c r="F12" t="str">
        <v>프로사업단총괄</v>
      </c>
      <c r="G12" t="str">
        <v>sub_admin</v>
      </c>
      <c r="H12" t="str">
        <v>재직</v>
      </c>
      <c r="I12" t="str">
        <v>손생등록</v>
      </c>
      <c r="J12" t="str">
        <v>1991-01-25</v>
      </c>
      <c r="K12" t="str">
        <v>2023-10-10</v>
      </c>
      <c r="L12" t="str">
        <v/>
      </c>
      <c r="M12" t="b">
        <v>0</v>
      </c>
      <c r="N12" t="b">
        <v>1</v>
      </c>
    </row>
    <row r="13" spans="1:14">
      <c r="A13">
        <v>2436160</v>
      </c>
      <c r="C13" t="str">
        <v>이하린</v>
      </c>
      <c r="D13" t="str">
        <v>MA부문</v>
      </c>
      <c r="E13" t="str">
        <v>MA사업4부</v>
      </c>
      <c r="F13" t="str">
        <v>프로사업단총괄</v>
      </c>
      <c r="G13" t="str">
        <v>sub_admin</v>
      </c>
      <c r="H13" t="str">
        <v>재직</v>
      </c>
      <c r="I13" t="str">
        <v>손생등록</v>
      </c>
      <c r="J13" t="str">
        <v>1997-04-21</v>
      </c>
      <c r="K13" t="str">
        <v>2024-08-12</v>
      </c>
      <c r="L13" t="str">
        <v/>
      </c>
      <c r="M13" t="b">
        <v>0</v>
      </c>
      <c r="N13" t="b">
        <v>1</v>
      </c>
    </row>
    <row r="14" spans="1:14">
      <c r="A14">
        <v>2230184</v>
      </c>
      <c r="C14" t="str">
        <v>임근평</v>
      </c>
      <c r="D14" t="str">
        <v>MA부문</v>
      </c>
      <c r="E14" t="str">
        <v>MA사업4부</v>
      </c>
      <c r="F14" t="str">
        <v>프로사업단총괄</v>
      </c>
      <c r="G14" t="str">
        <v>sub_admin</v>
      </c>
      <c r="H14" t="str">
        <v>재직</v>
      </c>
      <c r="I14" t="str">
        <v>손생등록</v>
      </c>
      <c r="J14" t="str">
        <v>1994-04-08</v>
      </c>
      <c r="K14" t="str">
        <v>2022-01-14</v>
      </c>
      <c r="L14" t="str">
        <v/>
      </c>
      <c r="M14" t="b">
        <v>0</v>
      </c>
      <c r="N14" t="b">
        <v>1</v>
      </c>
    </row>
    <row r="15" spans="1:14">
      <c r="A15">
        <v>2230129</v>
      </c>
      <c r="C15" t="str">
        <v>전성재</v>
      </c>
      <c r="D15" t="str">
        <v>MA부문</v>
      </c>
      <c r="E15" t="str">
        <v>MA사업4부</v>
      </c>
      <c r="F15" t="str">
        <v>프로사업단총괄</v>
      </c>
      <c r="G15" t="str">
        <v>sub_admin</v>
      </c>
      <c r="H15" t="str">
        <v>재직</v>
      </c>
      <c r="I15" t="str">
        <v>손생등록</v>
      </c>
      <c r="J15" t="str">
        <v>1999-06-14</v>
      </c>
      <c r="K15" t="str">
        <v>2022-01-10</v>
      </c>
      <c r="L15" t="str">
        <v/>
      </c>
      <c r="M15" t="b">
        <v>0</v>
      </c>
      <c r="N15" t="b">
        <v>1</v>
      </c>
    </row>
    <row r="16" spans="1:14">
      <c r="A16">
        <v>2537515</v>
      </c>
      <c r="C16" t="str">
        <v>정영수</v>
      </c>
      <c r="D16" t="str">
        <v>MA부문</v>
      </c>
      <c r="E16" t="str">
        <v>MA사업4부</v>
      </c>
      <c r="F16" t="str">
        <v>프로사업단총괄</v>
      </c>
      <c r="G16" t="str">
        <v>sub_admin</v>
      </c>
      <c r="H16" t="str">
        <v>재직</v>
      </c>
      <c r="I16" t="str">
        <v>손생등록</v>
      </c>
      <c r="J16" t="str">
        <v>1987-07-13</v>
      </c>
      <c r="K16" t="str">
        <v>2025-07-14</v>
      </c>
      <c r="L16" t="str">
        <v/>
      </c>
      <c r="M16" t="b">
        <v>0</v>
      </c>
      <c r="N16" t="b">
        <v>1</v>
      </c>
    </row>
    <row r="17" spans="1:14">
      <c r="A17">
        <v>1930651</v>
      </c>
      <c r="C17" t="str">
        <v>조혁</v>
      </c>
      <c r="D17" t="str">
        <v>MA부문</v>
      </c>
      <c r="E17" t="str">
        <v>MA사업4부</v>
      </c>
      <c r="F17" t="str">
        <v>프로사업단총괄</v>
      </c>
      <c r="G17" t="str">
        <v>sub_admin</v>
      </c>
      <c r="H17" t="str">
        <v>재직</v>
      </c>
      <c r="I17" t="str">
        <v>손생등록</v>
      </c>
      <c r="J17" t="str">
        <v>1992-05-20</v>
      </c>
      <c r="K17" t="str">
        <v>2019-03-06</v>
      </c>
      <c r="L17" t="str">
        <v/>
      </c>
      <c r="M17" t="b">
        <v>0</v>
      </c>
      <c r="N17" t="b">
        <v>1</v>
      </c>
    </row>
    <row r="18" spans="1:14">
      <c r="A18">
        <v>2230830</v>
      </c>
      <c r="C18" t="str">
        <v>최승은</v>
      </c>
      <c r="D18" t="str">
        <v>MA부문</v>
      </c>
      <c r="E18" t="str">
        <v>MA사업4부</v>
      </c>
      <c r="F18" t="str">
        <v>프로사업단총괄</v>
      </c>
      <c r="G18" t="str">
        <v>sub_admin</v>
      </c>
      <c r="H18" t="str">
        <v>재직</v>
      </c>
      <c r="I18" t="str">
        <v>손생등록</v>
      </c>
      <c r="J18" t="str">
        <v>1981-01-08</v>
      </c>
      <c r="K18" t="str">
        <v>2022-02-22</v>
      </c>
      <c r="L18" t="str">
        <v/>
      </c>
      <c r="M18" t="b">
        <v>0</v>
      </c>
      <c r="N18" t="b">
        <v>1</v>
      </c>
    </row>
    <row r="19" spans="1:14">
      <c r="A19">
        <v>2435454</v>
      </c>
      <c r="C19" t="str">
        <v>최영훈</v>
      </c>
      <c r="D19" t="str">
        <v>MA부문</v>
      </c>
      <c r="E19" t="str">
        <v>MA사업4부</v>
      </c>
      <c r="F19" t="str">
        <v>프로사업단총괄</v>
      </c>
      <c r="G19" t="str">
        <v>sub_admin</v>
      </c>
      <c r="H19" t="str">
        <v>재직</v>
      </c>
      <c r="I19" t="str">
        <v>손생등록</v>
      </c>
      <c r="J19" t="str">
        <v>1995-02-19</v>
      </c>
      <c r="K19" t="str">
        <v>2024-07-17</v>
      </c>
      <c r="L19" t="str">
        <v/>
      </c>
      <c r="M19" t="b">
        <v>0</v>
      </c>
      <c r="N19" t="b">
        <v>1</v>
      </c>
    </row>
    <row r="20" spans="1:14">
      <c r="A20">
        <v>2535421</v>
      </c>
      <c r="C20" t="str">
        <v>최은영</v>
      </c>
      <c r="D20" t="str">
        <v>MA부문</v>
      </c>
      <c r="E20" t="str">
        <v>MA사업4부</v>
      </c>
      <c r="F20" t="str">
        <v>프로사업단총괄</v>
      </c>
      <c r="G20" t="str">
        <v>sub_admin</v>
      </c>
      <c r="H20" t="str">
        <v>재직</v>
      </c>
      <c r="I20" t="str">
        <v>손생등록</v>
      </c>
      <c r="J20" t="str">
        <v>1970-06-14</v>
      </c>
      <c r="K20" t="str">
        <v>2025-05-21</v>
      </c>
      <c r="L20" t="str">
        <v/>
      </c>
      <c r="M20" t="b">
        <v>0</v>
      </c>
      <c r="N20" t="b">
        <v>1</v>
      </c>
    </row>
    <row r="21" spans="1:14">
      <c r="A21">
        <v>1930665</v>
      </c>
      <c r="C21" t="str">
        <v>홍종현</v>
      </c>
      <c r="D21" t="str">
        <v>MA부문</v>
      </c>
      <c r="E21" t="str">
        <v>MA사업4부</v>
      </c>
      <c r="F21" t="str">
        <v>프로사업단총괄</v>
      </c>
      <c r="G21" t="str">
        <v>sub_admin</v>
      </c>
      <c r="H21" t="str">
        <v>재직</v>
      </c>
      <c r="I21" t="str">
        <v>손생등록</v>
      </c>
      <c r="J21" t="str">
        <v>1989-06-11</v>
      </c>
      <c r="K21" t="str">
        <v>2019-03-06</v>
      </c>
      <c r="L21" t="str">
        <v/>
      </c>
      <c r="M21" t="b">
        <v>0</v>
      </c>
      <c r="N21" t="b">
        <v>1</v>
      </c>
    </row>
  </sheetData>
  <autoFilter ref="A1:N3333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유의사항</vt:lpstr>
      <vt:lpstr>영업가족직원조회</vt:lpstr>
      <vt:lpstr>관리자</vt:lpstr>
      <vt:lpstr>업로드</vt:lpstr>
      <vt:lpstr>업로드!_FilterDatabase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김상헌(1611851)</cp:lastModifiedBy>
  <dcterms:created xsi:type="dcterms:W3CDTF">2025-10-17T16:18:25Z</dcterms:created>
  <dcterms:modified xsi:type="dcterms:W3CDTF">2025-12-23T02:02:44Z</dcterms:modified>
</cp:coreProperties>
</file>